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o\Document\_VGU\_Semester 2\Introduction to Data Science and AI\"/>
    </mc:Choice>
  </mc:AlternateContent>
  <bookViews>
    <workbookView xWindow="0" yWindow="0" windowWidth="23040" windowHeight="9072"/>
  </bookViews>
  <sheets>
    <sheet name="Grade" sheetId="1" r:id="rId1"/>
    <sheet name="Lab" sheetId="2" r:id="rId2"/>
    <sheet name="exam" sheetId="3" r:id="rId3"/>
  </sheets>
  <definedNames>
    <definedName name="_xlnm._FilterDatabase" localSheetId="2" hidden="1">exam!$A$1:$E$115</definedName>
  </definedNames>
  <calcPr calcId="162913"/>
  <extLst>
    <ext uri="GoogleSheetsCustomDataVersion2">
      <go:sheetsCustomData xmlns:go="http://customooxmlschemas.google.com/" r:id="rId7" roundtripDataChecksum="fO6kyyaLpTS8JAAdd0kapEazQewvaohi9kuiTJO2OhM="/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9" i="1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129" i="2"/>
  <c r="I128" i="2"/>
  <c r="H128" i="2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R99" i="1" l="1"/>
  <c r="S99" i="1" s="1"/>
  <c r="T99" i="1" s="1"/>
  <c r="R59" i="1"/>
  <c r="S59" i="1" s="1"/>
  <c r="T59" i="1" s="1"/>
  <c r="R31" i="1"/>
  <c r="S31" i="1" s="1"/>
  <c r="T31" i="1" s="1"/>
  <c r="R115" i="1"/>
  <c r="S115" i="1" s="1"/>
  <c r="T115" i="1" s="1"/>
  <c r="R91" i="1"/>
  <c r="S91" i="1" s="1"/>
  <c r="T91" i="1" s="1"/>
  <c r="R50" i="1"/>
  <c r="S50" i="1" s="1"/>
  <c r="T50" i="1" s="1"/>
  <c r="R107" i="1"/>
  <c r="S107" i="1" s="1"/>
  <c r="T107" i="1" s="1"/>
  <c r="R58" i="1"/>
  <c r="S58" i="1" s="1"/>
  <c r="T58" i="1" s="1"/>
  <c r="R42" i="1"/>
  <c r="S42" i="1" s="1"/>
  <c r="T42" i="1" s="1"/>
  <c r="R69" i="1"/>
  <c r="S69" i="1" s="1"/>
  <c r="T69" i="1" s="1"/>
  <c r="R123" i="1"/>
  <c r="S123" i="1" s="1"/>
  <c r="T123" i="1" s="1"/>
  <c r="R75" i="1"/>
  <c r="S75" i="1" s="1"/>
  <c r="T75" i="1" s="1"/>
  <c r="R83" i="1"/>
  <c r="S83" i="1" s="1"/>
  <c r="T83" i="1" s="1"/>
  <c r="R67" i="1"/>
  <c r="S67" i="1" s="1"/>
  <c r="T67" i="1" s="1"/>
  <c r="R29" i="1"/>
  <c r="S29" i="1" s="1"/>
  <c r="T29" i="1" s="1"/>
  <c r="R33" i="1"/>
  <c r="S33" i="1" s="1"/>
  <c r="T33" i="1" s="1"/>
  <c r="R52" i="1"/>
  <c r="S52" i="1" s="1"/>
  <c r="T52" i="1" s="1"/>
  <c r="R60" i="1"/>
  <c r="S60" i="1" s="1"/>
  <c r="T60" i="1" s="1"/>
  <c r="R12" i="1"/>
  <c r="S12" i="1" s="1"/>
  <c r="T12" i="1" s="1"/>
  <c r="R20" i="1"/>
  <c r="S20" i="1" s="1"/>
  <c r="T20" i="1" s="1"/>
  <c r="R28" i="1"/>
  <c r="S28" i="1" s="1"/>
  <c r="T28" i="1" s="1"/>
  <c r="R39" i="1"/>
  <c r="S39" i="1" s="1"/>
  <c r="T39" i="1" s="1"/>
  <c r="R66" i="1"/>
  <c r="S66" i="1" s="1"/>
  <c r="T66" i="1" s="1"/>
  <c r="R74" i="1"/>
  <c r="S74" i="1" s="1"/>
  <c r="T74" i="1" s="1"/>
  <c r="R82" i="1"/>
  <c r="S82" i="1" s="1"/>
  <c r="T82" i="1" s="1"/>
  <c r="R90" i="1"/>
  <c r="S90" i="1" s="1"/>
  <c r="T90" i="1" s="1"/>
  <c r="R98" i="1"/>
  <c r="S98" i="1" s="1"/>
  <c r="T98" i="1" s="1"/>
  <c r="R106" i="1"/>
  <c r="S106" i="1" s="1"/>
  <c r="T106" i="1" s="1"/>
  <c r="R114" i="1"/>
  <c r="S114" i="1" s="1"/>
  <c r="T114" i="1" s="1"/>
  <c r="R122" i="1"/>
  <c r="S122" i="1" s="1"/>
  <c r="T122" i="1" s="1"/>
  <c r="R23" i="1"/>
  <c r="S23" i="1" s="1"/>
  <c r="T23" i="1" s="1"/>
  <c r="R32" i="1"/>
  <c r="S32" i="1" s="1"/>
  <c r="T32" i="1" s="1"/>
  <c r="R51" i="1"/>
  <c r="S51" i="1" s="1"/>
  <c r="T51" i="1" s="1"/>
  <c r="R77" i="1"/>
  <c r="S77" i="1" s="1"/>
  <c r="T77" i="1" s="1"/>
  <c r="R117" i="1"/>
  <c r="S117" i="1" s="1"/>
  <c r="T117" i="1" s="1"/>
  <c r="R101" i="1"/>
  <c r="S101" i="1" s="1"/>
  <c r="T101" i="1" s="1"/>
  <c r="R15" i="1"/>
  <c r="S15" i="1" s="1"/>
  <c r="T15" i="1" s="1"/>
  <c r="R34" i="1"/>
  <c r="S34" i="1" s="1"/>
  <c r="T34" i="1" s="1"/>
  <c r="R61" i="1"/>
  <c r="S61" i="1" s="1"/>
  <c r="T61" i="1" s="1"/>
  <c r="R85" i="1"/>
  <c r="S85" i="1" s="1"/>
  <c r="T85" i="1" s="1"/>
  <c r="R109" i="1"/>
  <c r="S109" i="1" s="1"/>
  <c r="T109" i="1" s="1"/>
  <c r="R13" i="1"/>
  <c r="S13" i="1" s="1"/>
  <c r="T13" i="1" s="1"/>
  <c r="R48" i="1"/>
  <c r="S48" i="1" s="1"/>
  <c r="T48" i="1" s="1"/>
  <c r="R56" i="1"/>
  <c r="S56" i="1" s="1"/>
  <c r="T56" i="1" s="1"/>
  <c r="R53" i="1"/>
  <c r="S53" i="1" s="1"/>
  <c r="T53" i="1" s="1"/>
  <c r="R93" i="1"/>
  <c r="S93" i="1" s="1"/>
  <c r="T93" i="1" s="1"/>
  <c r="R125" i="1"/>
  <c r="S125" i="1" s="1"/>
  <c r="T125" i="1" s="1"/>
  <c r="R21" i="1"/>
  <c r="S21" i="1" s="1"/>
  <c r="T21" i="1" s="1"/>
  <c r="R40" i="1"/>
  <c r="S40" i="1" s="1"/>
  <c r="T40" i="1" s="1"/>
  <c r="R94" i="1"/>
  <c r="S94" i="1" s="1"/>
  <c r="T94" i="1" s="1"/>
  <c r="R120" i="1"/>
  <c r="S120" i="1" s="1"/>
  <c r="T120" i="1" s="1"/>
  <c r="R25" i="1"/>
  <c r="S25" i="1" s="1"/>
  <c r="T25" i="1" s="1"/>
  <c r="R80" i="1"/>
  <c r="S80" i="1" s="1"/>
  <c r="T80" i="1" s="1"/>
  <c r="R26" i="1"/>
  <c r="S26" i="1" s="1"/>
  <c r="T26" i="1" s="1"/>
  <c r="R100" i="1"/>
  <c r="S100" i="1" s="1"/>
  <c r="T100" i="1" s="1"/>
  <c r="R18" i="1"/>
  <c r="S18" i="1" s="1"/>
  <c r="T18" i="1" s="1"/>
  <c r="R96" i="1"/>
  <c r="S96" i="1" s="1"/>
  <c r="T96" i="1" s="1"/>
  <c r="R22" i="1"/>
  <c r="S22" i="1" s="1"/>
  <c r="T22" i="1" s="1"/>
  <c r="R44" i="1"/>
  <c r="S44" i="1" s="1"/>
  <c r="T44" i="1" s="1"/>
  <c r="R57" i="1"/>
  <c r="S57" i="1" s="1"/>
  <c r="T57" i="1" s="1"/>
  <c r="R10" i="1"/>
  <c r="S10" i="1" s="1"/>
  <c r="T10" i="1" s="1"/>
  <c r="R72" i="1"/>
  <c r="S72" i="1" s="1"/>
  <c r="T72" i="1" s="1"/>
  <c r="R111" i="1"/>
  <c r="S111" i="1" s="1"/>
  <c r="T111" i="1" s="1"/>
  <c r="R62" i="1"/>
  <c r="S62" i="1" s="1"/>
  <c r="T62" i="1" s="1"/>
  <c r="R36" i="1"/>
  <c r="S36" i="1" s="1"/>
  <c r="T36" i="1" s="1"/>
  <c r="R97" i="1"/>
  <c r="S97" i="1" s="1"/>
  <c r="T97" i="1" s="1"/>
  <c r="R112" i="1"/>
  <c r="S112" i="1" s="1"/>
  <c r="T112" i="1" s="1"/>
  <c r="R70" i="1"/>
  <c r="S70" i="1" s="1"/>
  <c r="T70" i="1" s="1"/>
  <c r="R110" i="1"/>
  <c r="S110" i="1" s="1"/>
  <c r="T110" i="1" s="1"/>
  <c r="R86" i="1"/>
  <c r="S86" i="1" s="1"/>
  <c r="T86" i="1" s="1"/>
  <c r="R87" i="1"/>
  <c r="S87" i="1" s="1"/>
  <c r="T87" i="1" s="1"/>
  <c r="R54" i="1"/>
  <c r="S54" i="1" s="1"/>
  <c r="T54" i="1" s="1"/>
  <c r="R73" i="1"/>
  <c r="S73" i="1" s="1"/>
  <c r="T73" i="1" s="1"/>
  <c r="R88" i="1"/>
  <c r="S88" i="1" s="1"/>
  <c r="T88" i="1" s="1"/>
  <c r="R119" i="1"/>
  <c r="S119" i="1" s="1"/>
  <c r="T119" i="1" s="1"/>
  <c r="R17" i="1"/>
  <c r="S17" i="1" s="1"/>
  <c r="T17" i="1" s="1"/>
  <c r="R9" i="1"/>
  <c r="S9" i="1" s="1"/>
  <c r="T9" i="1" s="1"/>
  <c r="R14" i="1"/>
  <c r="S14" i="1" s="1"/>
  <c r="T14" i="1" s="1"/>
  <c r="R102" i="1"/>
  <c r="S102" i="1" s="1"/>
  <c r="T102" i="1" s="1"/>
  <c r="R68" i="1"/>
  <c r="S68" i="1" s="1"/>
  <c r="T68" i="1" s="1"/>
  <c r="R78" i="1"/>
  <c r="S78" i="1" s="1"/>
  <c r="T78" i="1" s="1"/>
  <c r="R103" i="1"/>
  <c r="S103" i="1" s="1"/>
  <c r="T103" i="1" s="1"/>
  <c r="R38" i="1"/>
  <c r="S38" i="1" s="1"/>
  <c r="T38" i="1" s="1"/>
  <c r="R47" i="1"/>
  <c r="S47" i="1" s="1"/>
  <c r="T47" i="1" s="1"/>
  <c r="R84" i="1"/>
  <c r="S84" i="1" s="1"/>
  <c r="T84" i="1" s="1"/>
  <c r="R65" i="1"/>
  <c r="S65" i="1" s="1"/>
  <c r="T65" i="1" s="1"/>
  <c r="R95" i="1"/>
  <c r="S95" i="1" s="1"/>
  <c r="T95" i="1" s="1"/>
  <c r="R43" i="1"/>
  <c r="S43" i="1" s="1"/>
  <c r="T43" i="1" s="1"/>
  <c r="R105" i="1"/>
  <c r="S105" i="1" s="1"/>
  <c r="T105" i="1" s="1"/>
  <c r="R35" i="1"/>
  <c r="S35" i="1" s="1"/>
  <c r="T35" i="1" s="1"/>
  <c r="R121" i="1"/>
  <c r="S121" i="1" s="1"/>
  <c r="T121" i="1" s="1"/>
  <c r="R45" i="1"/>
  <c r="S45" i="1" s="1"/>
  <c r="T45" i="1" s="1"/>
  <c r="R19" i="1"/>
  <c r="S19" i="1" s="1"/>
  <c r="T19" i="1" s="1"/>
  <c r="R92" i="1"/>
  <c r="S92" i="1" s="1"/>
  <c r="T92" i="1" s="1"/>
  <c r="R37" i="1"/>
  <c r="S37" i="1" s="1"/>
  <c r="T37" i="1" s="1"/>
  <c r="R24" i="1"/>
  <c r="S24" i="1" s="1"/>
  <c r="T24" i="1" s="1"/>
  <c r="R30" i="1"/>
  <c r="S30" i="1" s="1"/>
  <c r="T30" i="1" s="1"/>
  <c r="R124" i="1"/>
  <c r="S124" i="1" s="1"/>
  <c r="T124" i="1" s="1"/>
  <c r="R27" i="1"/>
  <c r="S27" i="1" s="1"/>
  <c r="T27" i="1" s="1"/>
  <c r="R116" i="1"/>
  <c r="S116" i="1" s="1"/>
  <c r="T116" i="1" s="1"/>
  <c r="R63" i="1"/>
  <c r="S63" i="1" s="1"/>
  <c r="T63" i="1" s="1"/>
  <c r="R11" i="1"/>
  <c r="S11" i="1" s="1"/>
  <c r="T11" i="1" s="1"/>
  <c r="R64" i="1"/>
  <c r="S64" i="1" s="1"/>
  <c r="T64" i="1" s="1"/>
  <c r="R46" i="1"/>
  <c r="S46" i="1" s="1"/>
  <c r="T46" i="1" s="1"/>
  <c r="R55" i="1"/>
  <c r="S55" i="1" s="1"/>
  <c r="T55" i="1" s="1"/>
  <c r="R79" i="1"/>
  <c r="S79" i="1" s="1"/>
  <c r="T79" i="1" s="1"/>
  <c r="R108" i="1"/>
  <c r="S108" i="1" s="1"/>
  <c r="T108" i="1" s="1"/>
  <c r="R113" i="1"/>
  <c r="S113" i="1" s="1"/>
  <c r="T113" i="1" s="1"/>
  <c r="R71" i="1"/>
  <c r="S71" i="1" s="1"/>
  <c r="T71" i="1" s="1"/>
  <c r="R81" i="1"/>
  <c r="S81" i="1" s="1"/>
  <c r="T81" i="1" s="1"/>
  <c r="R76" i="1"/>
  <c r="S76" i="1" s="1"/>
  <c r="T76" i="1" s="1"/>
  <c r="R49" i="1"/>
  <c r="S49" i="1" s="1"/>
  <c r="T49" i="1" s="1"/>
  <c r="R126" i="1"/>
  <c r="S126" i="1" s="1"/>
  <c r="T126" i="1" s="1"/>
  <c r="R41" i="1"/>
  <c r="S41" i="1" s="1"/>
  <c r="T41" i="1" s="1"/>
  <c r="R16" i="1"/>
  <c r="S16" i="1" s="1"/>
  <c r="T16" i="1" s="1"/>
  <c r="R89" i="1"/>
  <c r="S89" i="1" s="1"/>
  <c r="T89" i="1" s="1"/>
  <c r="R104" i="1"/>
  <c r="S104" i="1" s="1"/>
  <c r="T104" i="1" s="1"/>
  <c r="R118" i="1"/>
  <c r="S118" i="1" s="1"/>
  <c r="T118" i="1" s="1"/>
</calcChain>
</file>

<file path=xl/sharedStrings.xml><?xml version="1.0" encoding="utf-8"?>
<sst xmlns="http://schemas.openxmlformats.org/spreadsheetml/2006/main" count="1182" uniqueCount="501">
  <si>
    <t>Final Exam Result</t>
  </si>
  <si>
    <t>Module: Introduction to Data Science and AI</t>
  </si>
  <si>
    <t>Exam Date: 25.06.2024</t>
  </si>
  <si>
    <t>Lecturer: Dr. Nguyen Tuan Cuong</t>
  </si>
  <si>
    <t>Time: 09:30 - 11:00</t>
  </si>
  <si>
    <t>Semester: SS2024</t>
  </si>
  <si>
    <t>Duration: 90 minutes</t>
  </si>
  <si>
    <t>No.</t>
  </si>
  <si>
    <t>Intake</t>
  </si>
  <si>
    <t>VGU ID</t>
  </si>
  <si>
    <t>Last Names and Middle Names</t>
  </si>
  <si>
    <t>Names</t>
  </si>
  <si>
    <t>Attempts</t>
  </si>
  <si>
    <t>Emails</t>
  </si>
  <si>
    <t>Grade</t>
  </si>
  <si>
    <t>Note</t>
  </si>
  <si>
    <t>Lab 1</t>
  </si>
  <si>
    <t>Lab 2</t>
  </si>
  <si>
    <t>Final (40%)</t>
  </si>
  <si>
    <t>Project (40%)</t>
  </si>
  <si>
    <t>Bonus</t>
  </si>
  <si>
    <t>German</t>
  </si>
  <si>
    <t>CSE2021</t>
  </si>
  <si>
    <t>Bui Le</t>
  </si>
  <si>
    <t>Nhat</t>
  </si>
  <si>
    <t>10421133@student.vgu.edu.vn</t>
  </si>
  <si>
    <t>No submission</t>
  </si>
  <si>
    <t>Bui Van Hoang</t>
  </si>
  <si>
    <t>Vu</t>
  </si>
  <si>
    <t>10421127@student.vgu.edu.vn</t>
  </si>
  <si>
    <t>CSE2022</t>
  </si>
  <si>
    <t>Pham Duc</t>
  </si>
  <si>
    <t>An</t>
  </si>
  <si>
    <t>10422002@student.vgu.edu.vn</t>
  </si>
  <si>
    <t>Le Thai</t>
  </si>
  <si>
    <t>10422003@student.vgu.edu.vn</t>
  </si>
  <si>
    <t>Yamashita Tri</t>
  </si>
  <si>
    <t>10422004@student.vgu.edu.vn</t>
  </si>
  <si>
    <t>Vu Duc Hung</t>
  </si>
  <si>
    <t>Anh</t>
  </si>
  <si>
    <t>10222040@student.vgu.edu.vn</t>
  </si>
  <si>
    <t>Private code, not able to access</t>
  </si>
  <si>
    <t>Nguyen Tran Tuan</t>
  </si>
  <si>
    <t>10422005@student.vgu.edu.vn</t>
  </si>
  <si>
    <t>Nguyen Nhat</t>
  </si>
  <si>
    <t>10422006@student.vgu.edu.vn</t>
  </si>
  <si>
    <t>Nguyen Ngoc Minh</t>
  </si>
  <si>
    <t>10422009@student.vgu.edu.vn</t>
  </si>
  <si>
    <t>Dang Dinh Tu</t>
  </si>
  <si>
    <t>10422086@student.vgu.edu.vn</t>
  </si>
  <si>
    <t>bonus 2 not active</t>
  </si>
  <si>
    <t>Ho Viet</t>
  </si>
  <si>
    <t>Bach</t>
  </si>
  <si>
    <t>10422087@student.vgu.edu.vn</t>
  </si>
  <si>
    <t>Tran Gia</t>
  </si>
  <si>
    <t>Bao</t>
  </si>
  <si>
    <t>10421069@student.vgu.edu.vn</t>
  </si>
  <si>
    <t>Phan Le Quoc</t>
  </si>
  <si>
    <t>10421125@student.vgu.edu.vn</t>
  </si>
  <si>
    <t>Huynh Thien</t>
  </si>
  <si>
    <t>10422011@student.vgu.edu.vn</t>
  </si>
  <si>
    <t>Le Van Vinh</t>
  </si>
  <si>
    <t>10422012@student.vgu.edu.vn</t>
  </si>
  <si>
    <t>Huynh Trung</t>
  </si>
  <si>
    <t>10422013@student.vgu.edu.vn</t>
  </si>
  <si>
    <t>Nguyen Phuc</t>
  </si>
  <si>
    <t>10422014@student.vgu.edu.vn</t>
  </si>
  <si>
    <t>Duong Vo Thien</t>
  </si>
  <si>
    <t>10422015@student.vgu.edu.vn</t>
  </si>
  <si>
    <t>10422123@student.vgu.edu.vn</t>
  </si>
  <si>
    <t>Luong Tieu</t>
  </si>
  <si>
    <t>Cuong</t>
  </si>
  <si>
    <t>10422089@student.vgu.edu.vn</t>
  </si>
  <si>
    <t>Nguyen Tran Quoc</t>
  </si>
  <si>
    <t>Dat</t>
  </si>
  <si>
    <t>10422017@student.vgu.edu.vn</t>
  </si>
  <si>
    <t>Le Thanh</t>
  </si>
  <si>
    <t>10422091@student.vgu.edu.vn</t>
  </si>
  <si>
    <t>Cao Kim</t>
  </si>
  <si>
    <t>Do</t>
  </si>
  <si>
    <t>10422018@student.vgu.edu.vn</t>
  </si>
  <si>
    <t>Tran Manh</t>
  </si>
  <si>
    <t>Duc</t>
  </si>
  <si>
    <t>10422019@student.vgu.edu.vn</t>
  </si>
  <si>
    <t>Truong Huynh Anh</t>
  </si>
  <si>
    <t>10422092@student.vgu.edu.vn</t>
  </si>
  <si>
    <t>Pham Dao Quoc</t>
  </si>
  <si>
    <t>Dung</t>
  </si>
  <si>
    <t>10422020@student.vgu.edu.vn</t>
  </si>
  <si>
    <t>Pham Quang</t>
  </si>
  <si>
    <t>10422093@student.vgu.edu.vn</t>
  </si>
  <si>
    <t>Tran Hai</t>
  </si>
  <si>
    <t>Duong</t>
  </si>
  <si>
    <t>10422021@student.vgu.edu.vn</t>
  </si>
  <si>
    <t>Duy</t>
  </si>
  <si>
    <t>17417@student.vgu.edu.vn</t>
  </si>
  <si>
    <t>Pham</t>
  </si>
  <si>
    <t>10422022@student.vgu.edu.vn</t>
  </si>
  <si>
    <t>Nguyen</t>
  </si>
  <si>
    <t>10422023@student.vgu.edu.vn</t>
  </si>
  <si>
    <t>bonus 2 not correct</t>
  </si>
  <si>
    <t>Nguyen Minh</t>
  </si>
  <si>
    <t>Giap</t>
  </si>
  <si>
    <t>10422024@student.vgu.edu.vn</t>
  </si>
  <si>
    <t>Vo Thi Hong</t>
  </si>
  <si>
    <t>Ha</t>
  </si>
  <si>
    <t>10421015@student.vgu.edu.vn</t>
  </si>
  <si>
    <t>Truong Thanh</t>
  </si>
  <si>
    <t>Hai</t>
  </si>
  <si>
    <t>10422025@student.vgu.edu.vn</t>
  </si>
  <si>
    <t>Bonus 1 not corrrect, bonus 2 not check loss</t>
  </si>
  <si>
    <t>Do Nam</t>
  </si>
  <si>
    <t>10422094@student.vgu.edu.vn</t>
  </si>
  <si>
    <t>Nguyen Hoang</t>
  </si>
  <si>
    <t>Hao</t>
  </si>
  <si>
    <t>10422095@student.vgu.edu.vn</t>
  </si>
  <si>
    <t>Luu Huynh Phuc</t>
  </si>
  <si>
    <t>Hau</t>
  </si>
  <si>
    <t>10422026@student.vgu.edu.vn</t>
  </si>
  <si>
    <t>Tran Phuc Tan</t>
  </si>
  <si>
    <t>Hien</t>
  </si>
  <si>
    <t>10422027@student.vgu.edu.vn</t>
  </si>
  <si>
    <t>Duong Minh</t>
  </si>
  <si>
    <t>Hieu</t>
  </si>
  <si>
    <t>10422028@student.vgu.edu.vn</t>
  </si>
  <si>
    <t>Absent</t>
  </si>
  <si>
    <t>Tran Minh</t>
  </si>
  <si>
    <t>10422029@student.vgu.edu.vn</t>
  </si>
  <si>
    <t>wrong calculation, bonus 2 not run</t>
  </si>
  <si>
    <t>Nguyen Thanh Bao</t>
  </si>
  <si>
    <t>Hung</t>
  </si>
  <si>
    <t>10422031@student.vgu.edu.vn</t>
  </si>
  <si>
    <t>Le Phu</t>
  </si>
  <si>
    <t>10422032@student.vgu.edu.vn</t>
  </si>
  <si>
    <t>Nguyen Phu</t>
  </si>
  <si>
    <t>Huy</t>
  </si>
  <si>
    <t>10422033@student.vgu.edu.vn</t>
  </si>
  <si>
    <t>bonus 1 wrong calculation, bonus 2 wrong due to log_softmax</t>
  </si>
  <si>
    <t>Vu Duc</t>
  </si>
  <si>
    <t>10422097@student.vgu.edu.vn</t>
  </si>
  <si>
    <t>bonus 1 wrong calculation, bonus 2 not run</t>
  </si>
  <si>
    <t>Bui Dinh Anh</t>
  </si>
  <si>
    <t>10422098@student.vgu.edu.vn</t>
  </si>
  <si>
    <t>wrong calculation</t>
  </si>
  <si>
    <t>10422100@student.vgu.edu.vn</t>
  </si>
  <si>
    <t>Vacherot Minh Khai</t>
  </si>
  <si>
    <t>Keaton</t>
  </si>
  <si>
    <t>10422101@student.vgu.edu.vn</t>
  </si>
  <si>
    <t>load wrong checkpoints</t>
  </si>
  <si>
    <t>Pham Ngoc Duy</t>
  </si>
  <si>
    <t>Khanh</t>
  </si>
  <si>
    <t>10422103@student.vgu.edu.vn</t>
  </si>
  <si>
    <t>wrong loss function input, not work</t>
  </si>
  <si>
    <t>Huynh Nhat</t>
  </si>
  <si>
    <t>Khoa</t>
  </si>
  <si>
    <t>10421026@student.vgu.edu.vn</t>
  </si>
  <si>
    <t>error in view</t>
  </si>
  <si>
    <t>Nguyen Tien</t>
  </si>
  <si>
    <t>10422035@student.vgu.edu.vn</t>
  </si>
  <si>
    <t>Ngo Duc Minh</t>
  </si>
  <si>
    <t>10422036@student.vgu.edu.vn</t>
  </si>
  <si>
    <t>bonus 1 wrong</t>
  </si>
  <si>
    <t>Nguyen Hoang Anh</t>
  </si>
  <si>
    <t>10422037@student.vgu.edu.vn</t>
  </si>
  <si>
    <t>wrong calculation of wer</t>
  </si>
  <si>
    <t>Nguyen Anh</t>
  </si>
  <si>
    <t>10422104@student.vgu.edu.vn</t>
  </si>
  <si>
    <t>Luu Danh Thanh</t>
  </si>
  <si>
    <t>Khoi</t>
  </si>
  <si>
    <t>10422039@student.vgu.edu.vn</t>
  </si>
  <si>
    <t>Le Quang</t>
  </si>
  <si>
    <t>Kien</t>
  </si>
  <si>
    <t>10422040@student.vgu.edu.vn</t>
  </si>
  <si>
    <t>just run bonus 2 one epoch</t>
  </si>
  <si>
    <t>Vo Van Tuan</t>
  </si>
  <si>
    <t>Kiet</t>
  </si>
  <si>
    <t>10422041@student.vgu.edu.vn</t>
  </si>
  <si>
    <t>loss = 0.8, wer = 0.16</t>
  </si>
  <si>
    <t>Tran Nguyen</t>
  </si>
  <si>
    <t>Kim</t>
  </si>
  <si>
    <t>10422042@student.vgu.edu.vn</t>
  </si>
  <si>
    <t>wrong rel calculation</t>
  </si>
  <si>
    <t>Le Duc Thanh</t>
  </si>
  <si>
    <t>10422105@student.vgu.edu.vn</t>
  </si>
  <si>
    <t>may have bugs in feature calculation</t>
  </si>
  <si>
    <t>Luong Bao</t>
  </si>
  <si>
    <t>Lam</t>
  </si>
  <si>
    <t>10422043@student.vgu.edu.vn</t>
  </si>
  <si>
    <t>Dang Phan Khanh</t>
  </si>
  <si>
    <t>Linh</t>
  </si>
  <si>
    <t>10422106@student.vgu.edu.vn</t>
  </si>
  <si>
    <t>Pham Bao</t>
  </si>
  <si>
    <t>Long</t>
  </si>
  <si>
    <t>10422044@student.vgu.edu.vn</t>
  </si>
  <si>
    <t>Nguyen Manh Thanh</t>
  </si>
  <si>
    <t>10422045@student.vgu.edu.vn</t>
  </si>
  <si>
    <t>Mac Hai</t>
  </si>
  <si>
    <t>10422046@student.vgu.edu.vn</t>
  </si>
  <si>
    <t>bonus 1 wrong calc</t>
  </si>
  <si>
    <t>Manh</t>
  </si>
  <si>
    <t>10422047@student.vgu.edu.vn</t>
  </si>
  <si>
    <t>Nguyen Tran Ha</t>
  </si>
  <si>
    <t>Minh</t>
  </si>
  <si>
    <t>10422049@student.vgu.edu.vn</t>
  </si>
  <si>
    <t>not run decode wer</t>
  </si>
  <si>
    <t>Ton That Nhat</t>
  </si>
  <si>
    <t>10422050@student.vgu.edu.vn</t>
  </si>
  <si>
    <t>Dao Hong</t>
  </si>
  <si>
    <t>10422051@student.vgu.edu.vn</t>
  </si>
  <si>
    <t>bonus 2 not run</t>
  </si>
  <si>
    <t>Vu Dinh</t>
  </si>
  <si>
    <t>Nam</t>
  </si>
  <si>
    <t>10422052@student.vgu.edu.vn</t>
  </si>
  <si>
    <t>Vu Manh</t>
  </si>
  <si>
    <t>Nghia</t>
  </si>
  <si>
    <t>10422053@student.vgu.edu.vn</t>
  </si>
  <si>
    <t>Le Minh Bao</t>
  </si>
  <si>
    <t>Ngoc</t>
  </si>
  <si>
    <t>10422054@student.vgu.edu.vn</t>
  </si>
  <si>
    <t>Duong Bao</t>
  </si>
  <si>
    <t>10422055@student.vgu.edu.vn</t>
  </si>
  <si>
    <t>Nguyen Hoang Yen</t>
  </si>
  <si>
    <t>10422056@student.vgu.edu.vn</t>
  </si>
  <si>
    <t>Tran Si</t>
  </si>
  <si>
    <t>10422057@student.vgu.edu.vn</t>
  </si>
  <si>
    <t>Nguyen Khoi</t>
  </si>
  <si>
    <t>10422058@student.vgu.edu.vn</t>
  </si>
  <si>
    <t>Nguyen Thien</t>
  </si>
  <si>
    <t>10422059@student.vgu.edu.vn</t>
  </si>
  <si>
    <t>Nguyen Do Quynh</t>
  </si>
  <si>
    <t>10422108@student.vgu.edu.vn</t>
  </si>
  <si>
    <t>Pham Thanh</t>
  </si>
  <si>
    <t>Nha</t>
  </si>
  <si>
    <t>10422109@student.vgu.edu.vn</t>
  </si>
  <si>
    <t>bonus 1 wrong, bonus 2 not run</t>
  </si>
  <si>
    <t>Nguyen Le Chi</t>
  </si>
  <si>
    <t>Nhan</t>
  </si>
  <si>
    <t>10421098@student.vgu.edu.vn</t>
  </si>
  <si>
    <t>Nguyen Thanh</t>
  </si>
  <si>
    <t>10422110@student.vgu.edu.vn</t>
  </si>
  <si>
    <t>Hoang Quang</t>
  </si>
  <si>
    <t>10422060@student.vgu.edu.vn</t>
  </si>
  <si>
    <t>Mai Thi Yen</t>
  </si>
  <si>
    <t>Nhi</t>
  </si>
  <si>
    <t>10422061@student.vgu.edu.vn</t>
  </si>
  <si>
    <t>wrong calculation wer</t>
  </si>
  <si>
    <t>Truong Hao</t>
  </si>
  <si>
    <t>Nhien</t>
  </si>
  <si>
    <t>10422062@student.vgu.edu.vn</t>
  </si>
  <si>
    <t>Pham Luu Minh</t>
  </si>
  <si>
    <t>Nhu</t>
  </si>
  <si>
    <t>10422063@student.vgu.edu.vn</t>
  </si>
  <si>
    <t>bonus 1 wrong, bonus 2 missing code part</t>
  </si>
  <si>
    <t>Nguyen Tran Chan</t>
  </si>
  <si>
    <t>10422111@student.vgu.edu.vn</t>
  </si>
  <si>
    <t>Nguyen Huu</t>
  </si>
  <si>
    <t>Oanh</t>
  </si>
  <si>
    <t>10422112@student.vgu.edu.vn</t>
  </si>
  <si>
    <t>bonus 2 wrong</t>
  </si>
  <si>
    <t>Tran Duc</t>
  </si>
  <si>
    <t>Phat</t>
  </si>
  <si>
    <t>10222025@student.vgu.edu.vn</t>
  </si>
  <si>
    <t>Nguyen Thuc Nguyen</t>
  </si>
  <si>
    <t>Phong</t>
  </si>
  <si>
    <t>10422064@student.vgu.edu.vn</t>
  </si>
  <si>
    <t>Nguyen Xuan</t>
  </si>
  <si>
    <t>Phu</t>
  </si>
  <si>
    <t>10422065@student.vgu.edu.vn</t>
  </si>
  <si>
    <t>Phuc</t>
  </si>
  <si>
    <t>10422066@student.vgu.edu.vn</t>
  </si>
  <si>
    <t>Nguyen Song Thien</t>
  </si>
  <si>
    <t>10422067@student.vgu.edu.vn</t>
  </si>
  <si>
    <t>Nguyen Gia</t>
  </si>
  <si>
    <t>Phuong</t>
  </si>
  <si>
    <t>10422113@student.vgu.edu.vn</t>
  </si>
  <si>
    <t>Bonus run failed</t>
  </si>
  <si>
    <t>Le Ba Thai</t>
  </si>
  <si>
    <t>Quan</t>
  </si>
  <si>
    <t>10421102@student.vgu.edu.vn</t>
  </si>
  <si>
    <t>Hoang Nam</t>
  </si>
  <si>
    <t>Quoc</t>
  </si>
  <si>
    <t>10422070@student.vgu.edu.vn</t>
  </si>
  <si>
    <t>Bonus 2 may have bugs</t>
  </si>
  <si>
    <t>Tran Phuc</t>
  </si>
  <si>
    <t>Quy</t>
  </si>
  <si>
    <t>10422071@student.vgu.edu.vn</t>
  </si>
  <si>
    <t>no training run</t>
  </si>
  <si>
    <t>Huynh Thi Kim</t>
  </si>
  <si>
    <t>Quynh</t>
  </si>
  <si>
    <t>10421053@student.vgu.edu.vn</t>
  </si>
  <si>
    <t>Vo Tan</t>
  </si>
  <si>
    <t>Sang</t>
  </si>
  <si>
    <t>10422114@student.vgu.edu.vn</t>
  </si>
  <si>
    <t>Son</t>
  </si>
  <si>
    <t>10422072@student.vgu.edu.vn</t>
  </si>
  <si>
    <t>Le Binh</t>
  </si>
  <si>
    <t>Thanh</t>
  </si>
  <si>
    <t>10422074@student.vgu.edu.vn</t>
  </si>
  <si>
    <t>Nguyen Phuoc</t>
  </si>
  <si>
    <t>10422075@student.vgu.edu.vn</t>
  </si>
  <si>
    <t>Thien</t>
  </si>
  <si>
    <t>18919@student.vgu.edu.vn</t>
  </si>
  <si>
    <t>Thong</t>
  </si>
  <si>
    <t>10422117@student.vgu.edu.vn</t>
  </si>
  <si>
    <t>Nguyen Vu Minh</t>
  </si>
  <si>
    <t>Thy</t>
  </si>
  <si>
    <t>10422077@student.vgu.edu.vn</t>
  </si>
  <si>
    <t>Peng</t>
  </si>
  <si>
    <t>Tianyu</t>
  </si>
  <si>
    <t>10422124@student.vgu.edu.vn</t>
  </si>
  <si>
    <t>Le Viet</t>
  </si>
  <si>
    <t>Tin</t>
  </si>
  <si>
    <t>10422078@student.vgu.edu.vn</t>
  </si>
  <si>
    <t xml:space="preserve">Bonus 2 not run, log_softmax </t>
  </si>
  <si>
    <t>Tran Ngoc Anh</t>
  </si>
  <si>
    <t>Toan</t>
  </si>
  <si>
    <t>10422118@student.vgu.edu.vn</t>
  </si>
  <si>
    <t>Bonus 1 wrong</t>
  </si>
  <si>
    <t>Tran Nguyen Minh</t>
  </si>
  <si>
    <t>Tri</t>
  </si>
  <si>
    <t>10422119@student.vgu.edu.vn</t>
  </si>
  <si>
    <t>failed two requirements of accuracy</t>
  </si>
  <si>
    <t>Do Hoang</t>
  </si>
  <si>
    <t>Trieu</t>
  </si>
  <si>
    <t>10422120@student.vgu.edu.vn</t>
  </si>
  <si>
    <t>Truong</t>
  </si>
  <si>
    <t>10421124@student.vgu.edu.vn</t>
  </si>
  <si>
    <t>failed wer requirements</t>
  </si>
  <si>
    <t>Nguyen Duy</t>
  </si>
  <si>
    <t>10422079@student.vgu.edu.vn</t>
  </si>
  <si>
    <t>Tu</t>
  </si>
  <si>
    <t>10422080@student.vgu.edu.vn</t>
  </si>
  <si>
    <t>failed two requirements</t>
  </si>
  <si>
    <t>Bui Pham Minh</t>
  </si>
  <si>
    <t>Tuan</t>
  </si>
  <si>
    <t>10422081@student.vgu.edu.vn</t>
  </si>
  <si>
    <t>Nguyen Truong Anh</t>
  </si>
  <si>
    <t>10422082@student.vgu.edu.vn</t>
  </si>
  <si>
    <t>Nguyen Khanh</t>
  </si>
  <si>
    <t>Tuong</t>
  </si>
  <si>
    <t>10422121@student.vgu.edu.vn</t>
  </si>
  <si>
    <t>Ta Le Khoi</t>
  </si>
  <si>
    <t>Vi</t>
  </si>
  <si>
    <t>10422083@student.vgu.edu.vn</t>
  </si>
  <si>
    <t>Nguyen Tuan</t>
  </si>
  <si>
    <t>Viet</t>
  </si>
  <si>
    <t>10422084@student.vgu.edu.vn</t>
  </si>
  <si>
    <t>Tran Ngoc</t>
  </si>
  <si>
    <t>10422122@student.vgu.edu.vn</t>
  </si>
  <si>
    <t>Nguyen Thao</t>
  </si>
  <si>
    <t>Vy</t>
  </si>
  <si>
    <t>10421067@student.vgu.edu.vn</t>
  </si>
  <si>
    <t>Bui Duc</t>
  </si>
  <si>
    <t>Xuan</t>
  </si>
  <si>
    <t>10422085@student.vgu.edu.vn</t>
  </si>
  <si>
    <t>wrong wer calc</t>
  </si>
  <si>
    <t>Date, Signature</t>
  </si>
  <si>
    <t>Lab1</t>
  </si>
  <si>
    <t>Lab2</t>
  </si>
  <si>
    <t>L1: numpy version inconsistent</t>
  </si>
  <si>
    <t>L1: copy full solution</t>
  </si>
  <si>
    <t>L1: missing file 12</t>
  </si>
  <si>
    <t>L1: có assert nhưng tên biến khác</t>
  </si>
  <si>
    <t>L1: giống [1]</t>
  </si>
  <si>
    <t>L1: copy sol (run count) + missing files.</t>
  </si>
  <si>
    <t>L1: copy full solution 10 12 13</t>
  </si>
  <si>
    <t>L1: missing file 13</t>
  </si>
  <si>
    <t>L1: 13 same as solution</t>
  </si>
  <si>
    <t>L1: giống 10422097 [1]</t>
  </si>
  <si>
    <t>L1: giống 10422029 [1]</t>
  </si>
  <si>
    <t>L1: folder extracted with name 10422120</t>
  </si>
  <si>
    <t>L1: copy solution 12 13</t>
  </si>
  <si>
    <t>L1</t>
  </si>
  <si>
    <t>L1: copy full solution (same random number)</t>
  </si>
  <si>
    <t>L1: 12 with different numpy version from others.</t>
  </si>
  <si>
    <t>L1: no history running for all files, file 13 stuck at import numpy then stop --&gt; copy from answer</t>
  </si>
  <si>
    <t>L1: copy full solution, 1 run error to cell 3 then stop.</t>
  </si>
  <si>
    <t>L1: random same with solution</t>
  </si>
  <si>
    <t>L1: copy from 10422046 (__author__)</t>
  </si>
  <si>
    <t>L1: no running cells</t>
  </si>
  <si>
    <t>L1: empty zip file</t>
  </si>
  <si>
    <t>L1: missing 10, 12, 13</t>
  </si>
  <si>
    <t>L1: submitted 11 instead of 13</t>
  </si>
  <si>
    <t>ID</t>
  </si>
  <si>
    <t>File</t>
  </si>
  <si>
    <t>Score</t>
  </si>
  <si>
    <t>Num</t>
  </si>
  <si>
    <t>imgs/dsai/9/018.jpg</t>
  </si>
  <si>
    <t>imgs/dsai/10/012.jpg</t>
  </si>
  <si>
    <t>imgs/dsai/10/020.jpg</t>
  </si>
  <si>
    <t>imgs/dsai/9/008.jpg</t>
  </si>
  <si>
    <t>imgs/dsai/10/008.jpg</t>
  </si>
  <si>
    <t>imgs/dsai/10/006.jpg</t>
  </si>
  <si>
    <t>imgs/dsai/9/004.jpg</t>
  </si>
  <si>
    <t>imgs/dsai/9/014.jpg</t>
  </si>
  <si>
    <t>imgs/dsai/9/002.jpg</t>
  </si>
  <si>
    <t>imgs/dsai/9/012.jpg</t>
  </si>
  <si>
    <t>imgs/dsai/10/014.jpg</t>
  </si>
  <si>
    <t>imgs/dsai/10/018.jpg</t>
  </si>
  <si>
    <t>imgs/dsai/9/010.jpg</t>
  </si>
  <si>
    <t>imgs/dsai/8/002.jpg</t>
  </si>
  <si>
    <t>imgs/dsai/8/012.jpg</t>
  </si>
  <si>
    <t>imgs/dsai/7/002.jpg</t>
  </si>
  <si>
    <t>imgs/dsai/7/016.jpg</t>
  </si>
  <si>
    <t>imgs/dsai/7/004.jpg</t>
  </si>
  <si>
    <t>imgs/dsai/8/008.jpg</t>
  </si>
  <si>
    <t>imgs/dsai/8/016.jpg</t>
  </si>
  <si>
    <t>imgs/dsai/8/004.jpg</t>
  </si>
  <si>
    <t>imgs/dsai/8/014.jpg</t>
  </si>
  <si>
    <t>imgs/dsai/7/012.jpg</t>
  </si>
  <si>
    <t>imgs/dsai/8/010.jpg</t>
  </si>
  <si>
    <t>imgs/dsai/7/006.jpg</t>
  </si>
  <si>
    <t>imgs/dsai/7/008.jpg</t>
  </si>
  <si>
    <t>imgs/dsai/5/022.jpg</t>
  </si>
  <si>
    <t>imgs/dsai/5/024.jpg</t>
  </si>
  <si>
    <t>imgs/dsai/5/020.jpg</t>
  </si>
  <si>
    <t>imgs/dsai/6/006.jpg</t>
  </si>
  <si>
    <t>imgs/dsai/5/012.jpg</t>
  </si>
  <si>
    <t>imgs/dsai/6/012.jpg</t>
  </si>
  <si>
    <t>imgs/dsai/5/006.jpg</t>
  </si>
  <si>
    <t>imgs/dsai/6/018.jpg</t>
  </si>
  <si>
    <t>imgs/dsai/5/008.jpg</t>
  </si>
  <si>
    <t>imgs/dsai/6/014.jpg</t>
  </si>
  <si>
    <t>imgs/dsai/5/002.jpg</t>
  </si>
  <si>
    <t>imgs/dsai/6/010.jpg</t>
  </si>
  <si>
    <t>imgs/dsai/6/020.jpg</t>
  </si>
  <si>
    <t>imgs/dsai/6/002.jpg</t>
  </si>
  <si>
    <t>imgs/dsai/6/004.jpg</t>
  </si>
  <si>
    <t>imgs/dsai/5/004.jpg</t>
  </si>
  <si>
    <t>imgs/dsai/6/008.jpg</t>
  </si>
  <si>
    <t>imgs/dsai/4/022.jpg</t>
  </si>
  <si>
    <t>imgs/dsai/4/004.jpg</t>
  </si>
  <si>
    <t>imgs/dsai/4/024.jpg</t>
  </si>
  <si>
    <t>imgs/dsai/3/006.jpg</t>
  </si>
  <si>
    <t>imgs/dsai/4/002.jpg</t>
  </si>
  <si>
    <t>imgs/dsai/3/008.jpg</t>
  </si>
  <si>
    <t>imgs/dsai/4/010.jpg</t>
  </si>
  <si>
    <t>imgs/dsai/4/014.jpg</t>
  </si>
  <si>
    <t>imgs/dsai/3/002.jpg</t>
  </si>
  <si>
    <t>imgs/dsai/4/012.jpg</t>
  </si>
  <si>
    <t>imgs/dsai/4/020.jpg</t>
  </si>
  <si>
    <t>imgs/dsai/4/016.jpg</t>
  </si>
  <si>
    <t>imgs/dsai/3/024.jpg</t>
  </si>
  <si>
    <t>imgs/dsai/3/004.jpg</t>
  </si>
  <si>
    <t>imgs/dsai/3/020.jpg</t>
  </si>
  <si>
    <t>imgs/dsai/2/010.jpg</t>
  </si>
  <si>
    <t>imgs/dsai/2/022.jpg</t>
  </si>
  <si>
    <t>imgs/dsai/1/010.jpg</t>
  </si>
  <si>
    <t>imgs/dsai/2/014.jpg</t>
  </si>
  <si>
    <t>imgs/dsai/1/018.jpg</t>
  </si>
  <si>
    <t>imgs/dsai/2/020.jpg</t>
  </si>
  <si>
    <t>imgs/dsai/2/006.jpg</t>
  </si>
  <si>
    <t>imgs/dsai/1/016.jpg</t>
  </si>
  <si>
    <t>imgs/dsai/2/002.jpg</t>
  </si>
  <si>
    <t>imgs/dsai/2/004.jpg</t>
  </si>
  <si>
    <t>imgs/dsai/1/020.jpg</t>
  </si>
  <si>
    <t>imgs/dsai/1/022.jpg</t>
  </si>
  <si>
    <t>imgs/dsai/9/022.jpg</t>
  </si>
  <si>
    <t>imgs/dsai/9/024.jpg</t>
  </si>
  <si>
    <t>imgs/dsai/10/004.jpg</t>
  </si>
  <si>
    <t>imgs/dsai/9/016.jpg</t>
  </si>
  <si>
    <t>imgs/dsai/8/018.jpg</t>
  </si>
  <si>
    <t>imgs/dsai/7/018.jpg</t>
  </si>
  <si>
    <t>imgs/dsai/7/022.jpg</t>
  </si>
  <si>
    <t>imgs/dsai/7/024.jpg</t>
  </si>
  <si>
    <t>imgs/dsai/7/014.jpg</t>
  </si>
  <si>
    <t>imgs/dsai/8/006.jpg</t>
  </si>
  <si>
    <t>imgs/dsai/7/010.jpg</t>
  </si>
  <si>
    <t>imgs/dsai/5/016.jpg</t>
  </si>
  <si>
    <t>imgs/dsai/6/016.jpg</t>
  </si>
  <si>
    <t>imgs/dsai/5/014.jpg</t>
  </si>
  <si>
    <t>imgs/dsai/5/010.jpg</t>
  </si>
  <si>
    <t>imgs/dsai/3/018.jpg</t>
  </si>
  <si>
    <t>imgs/dsai/4/018.jpg</t>
  </si>
  <si>
    <t>imgs/dsai/4/006.jpg</t>
  </si>
  <si>
    <t>imgs/dsai/4/008.jpg</t>
  </si>
  <si>
    <t>imgs/dsai/3/022.jpg</t>
  </si>
  <si>
    <t>imgs/dsai/3/010.jpg</t>
  </si>
  <si>
    <t>imgs/dsai/2/016.jpg</t>
  </si>
  <si>
    <t>imgs/dsai/1/012.jpg</t>
  </si>
  <si>
    <t>imgs/dsai/1/006.jpg</t>
  </si>
  <si>
    <t>imgs/dsai/2/008.jpg</t>
  </si>
  <si>
    <t>imgs/dsai/1/024.jpg</t>
  </si>
  <si>
    <t>imgs/dsai/1/004.jpg</t>
  </si>
  <si>
    <t>imgs/dsai/2/012.jpg</t>
  </si>
  <si>
    <t>imgs/dsai/9/006.jpg</t>
  </si>
  <si>
    <t>imgs/dsai/1/002.jpg</t>
  </si>
  <si>
    <t>imgs/dsai/7/020.jpg</t>
  </si>
  <si>
    <t>imgs/dsai/5/018.jpg</t>
  </si>
  <si>
    <t>imgs/dsai/1/008.jpg</t>
  </si>
  <si>
    <t>imgs/dsai/1/014.jpg</t>
  </si>
  <si>
    <t>imgs/dsai/10/016.jpg</t>
  </si>
  <si>
    <t>imgs/dsai/3/014.jpg</t>
  </si>
  <si>
    <t>imgs/dsai/3/016.jpg</t>
  </si>
  <si>
    <t>imgs/dsai/2/018.jpg</t>
  </si>
  <si>
    <t>imgs/dsai/10/022.jpg</t>
  </si>
  <si>
    <t>imgs/dsai/9/020.jpg</t>
  </si>
  <si>
    <t>imgs/dsai/10/010.jpg</t>
  </si>
  <si>
    <t>imgs/dsai/8/020.jpg</t>
  </si>
  <si>
    <t>imgs/dsai/3/012.jpg</t>
  </si>
  <si>
    <t>imgs/dsai/10/002.jpg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</si>
</sst>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theme="1"/>
      <name val="Times New Roman"/>
    </font>
    <font>
      <sz val="10"/>
      <color theme="1"/>
      <name val="Arial"/>
      <scheme val="minor"/>
    </font>
    <font>
      <sz val="9"/>
      <color rgb="FF000000"/>
      <name val="&quot;Google Sans Mono&quot;"/>
    </font>
    <font>
      <i/>
      <sz val="12"/>
      <color rgb="FF000000"/>
      <name val="Times New Roman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/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164" fontId="1" fillId="3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2" fillId="0" borderId="0" xfId="0" applyFont="1" applyAlignment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4" fillId="0" borderId="0" xfId="0" applyFont="1"/>
    <xf numFmtId="0" fontId="2" fillId="4" borderId="0" xfId="0" applyFont="1" applyFill="1"/>
    <xf numFmtId="0" fontId="5" fillId="2" borderId="0" xfId="0" applyFont="1" applyFill="1"/>
    <xf numFmtId="0" fontId="2" fillId="3" borderId="0" xfId="0" applyFont="1" applyFill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6" xfId="0" applyFont="1" applyFill="1" applyBorder="1" applyAlignment="1"/>
    <xf numFmtId="0" fontId="4" fillId="5" borderId="0" xfId="0" applyFont="1" applyFill="1" applyAlignment="1"/>
    <xf numFmtId="0" fontId="4" fillId="5" borderId="0" xfId="0" applyFont="1" applyFill="1"/>
    <xf numFmtId="0" fontId="2" fillId="5" borderId="0" xfId="0" applyFont="1" applyFill="1"/>
    <xf numFmtId="0" fontId="2" fillId="5" borderId="0" xfId="0" applyFont="1" applyFill="1" applyAlignment="1"/>
    <xf numFmtId="0" fontId="5" fillId="5" borderId="0" xfId="0" applyFont="1" applyFill="1"/>
    <xf numFmtId="0" fontId="2" fillId="6" borderId="0" xfId="0" applyFont="1" applyFill="1" applyAlignment="1"/>
    <xf numFmtId="0" fontId="2" fillId="6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1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123825</xdr:rowOff>
    </xdr:from>
    <xdr:ext cx="1219200" cy="10953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123825</xdr:rowOff>
    </xdr:from>
    <xdr:ext cx="1219200" cy="10953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000"/>
  <sheetViews>
    <sheetView tabSelected="1" zoomScale="70" zoomScaleNormal="70" workbookViewId="0">
      <pane ySplit="8" topLeftCell="A9" activePane="bottomLeft" state="frozen"/>
      <selection pane="bottomLeft" activeCell="U18" sqref="U18"/>
    </sheetView>
  </sheetViews>
  <sheetFormatPr defaultColWidth="12.6640625" defaultRowHeight="15" customHeight="1" x14ac:dyDescent="0.25"/>
  <cols>
    <col min="1" max="1" width="7.6640625" customWidth="1"/>
    <col min="2" max="2" width="9.77734375" customWidth="1"/>
    <col min="3" max="3" width="10.44140625" customWidth="1"/>
    <col min="4" max="4" width="19.77734375" customWidth="1"/>
    <col min="5" max="5" width="8.33203125" customWidth="1"/>
    <col min="6" max="6" width="9.21875" customWidth="1"/>
    <col min="7" max="7" width="26.6640625" customWidth="1"/>
    <col min="8" max="8" width="6.77734375" customWidth="1"/>
    <col min="9" max="9" width="9.88671875" customWidth="1"/>
    <col min="10" max="11" width="15.21875" customWidth="1"/>
  </cols>
  <sheetData>
    <row r="1" spans="1:28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 x14ac:dyDescent="0.3">
      <c r="A2" s="7"/>
      <c r="B2" s="8"/>
      <c r="C2" s="9"/>
      <c r="D2" s="9"/>
      <c r="E2" s="9"/>
      <c r="F2" s="8"/>
      <c r="G2" s="9"/>
      <c r="H2" s="10"/>
      <c r="I2" s="9"/>
      <c r="J2" s="9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 x14ac:dyDescent="0.3">
      <c r="A3" s="7"/>
      <c r="B3" s="8"/>
      <c r="C3" s="9"/>
      <c r="D3" s="47" t="s">
        <v>1</v>
      </c>
      <c r="E3" s="48"/>
      <c r="F3" s="48"/>
      <c r="G3" s="12"/>
      <c r="H3" s="11" t="s">
        <v>2</v>
      </c>
      <c r="I3" s="9"/>
      <c r="J3" s="9"/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 x14ac:dyDescent="0.3">
      <c r="A4" s="7"/>
      <c r="B4" s="8"/>
      <c r="C4" s="9"/>
      <c r="D4" s="49" t="s">
        <v>3</v>
      </c>
      <c r="E4" s="48"/>
      <c r="F4" s="48"/>
      <c r="G4" s="12"/>
      <c r="H4" s="11" t="s">
        <v>4</v>
      </c>
      <c r="I4" s="9"/>
      <c r="J4" s="9"/>
      <c r="K4" s="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 x14ac:dyDescent="0.3">
      <c r="A5" s="7"/>
      <c r="B5" s="8"/>
      <c r="C5" s="9"/>
      <c r="D5" s="11" t="s">
        <v>5</v>
      </c>
      <c r="E5" s="9"/>
      <c r="F5" s="8"/>
      <c r="G5" s="12"/>
      <c r="H5" s="11" t="s">
        <v>6</v>
      </c>
      <c r="I5" s="9"/>
      <c r="J5" s="9"/>
      <c r="K5" s="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75" customHeight="1" x14ac:dyDescent="0.3">
      <c r="A6" s="7"/>
      <c r="B6" s="8"/>
      <c r="C6" s="9"/>
      <c r="D6" s="11"/>
      <c r="E6" s="9"/>
      <c r="F6" s="8"/>
      <c r="G6" s="9"/>
      <c r="H6" s="10"/>
      <c r="I6" s="9"/>
      <c r="J6" s="9"/>
      <c r="K6" s="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 x14ac:dyDescent="0.3">
      <c r="A7" s="13"/>
      <c r="B7" s="14"/>
      <c r="C7" s="15"/>
      <c r="D7" s="15"/>
      <c r="E7" s="15"/>
      <c r="F7" s="14"/>
      <c r="G7" s="15"/>
      <c r="H7" s="16"/>
      <c r="I7" s="15"/>
      <c r="J7" s="9"/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75" customHeight="1" x14ac:dyDescent="0.3">
      <c r="A8" s="17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9" t="s">
        <v>16</v>
      </c>
      <c r="K8" s="19" t="s">
        <v>17</v>
      </c>
      <c r="L8" s="20" t="s">
        <v>18</v>
      </c>
      <c r="M8" s="20" t="s">
        <v>19</v>
      </c>
      <c r="N8" s="20" t="s">
        <v>20</v>
      </c>
      <c r="O8" s="6"/>
      <c r="P8" s="6"/>
      <c r="Q8" s="6"/>
      <c r="R8" s="20" t="s">
        <v>14</v>
      </c>
      <c r="S8" s="20" t="s">
        <v>21</v>
      </c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 x14ac:dyDescent="0.3">
      <c r="A9" s="21">
        <v>1</v>
      </c>
      <c r="B9" s="22" t="s">
        <v>22</v>
      </c>
      <c r="C9" s="22">
        <v>10421133</v>
      </c>
      <c r="D9" s="22" t="s">
        <v>23</v>
      </c>
      <c r="E9" s="22" t="s">
        <v>24</v>
      </c>
      <c r="F9" s="21">
        <v>1</v>
      </c>
      <c r="G9" s="22" t="s">
        <v>25</v>
      </c>
      <c r="H9" s="22">
        <v>5</v>
      </c>
      <c r="I9" s="22"/>
      <c r="J9" s="23">
        <f>VLOOKUP(C9,Lab!$C$9:$I$126, 6, FALSE)</f>
        <v>10</v>
      </c>
      <c r="K9" s="23">
        <f>VLOOKUP(C9,Lab!$C$9:$I$126, 7, FALSE)</f>
        <v>10</v>
      </c>
      <c r="L9" s="6">
        <f>_xlfn.IFNA(VLOOKUP(C9, exam!$A$2:$C$115,3,FALSE),0)</f>
        <v>0.25</v>
      </c>
      <c r="M9" s="24"/>
      <c r="N9" s="24"/>
      <c r="O9" s="20" t="s">
        <v>26</v>
      </c>
      <c r="P9" s="6"/>
      <c r="Q9" s="6"/>
      <c r="R9" s="6">
        <f t="shared" ref="R9:R126" si="0">J9*0.1+K9*0.1+MIN((L9+N9),10)*0.4+M9*0.4</f>
        <v>2.1</v>
      </c>
      <c r="S9" s="25">
        <f t="shared" ref="S9:S126" si="1">IF(R9*10&lt;50,5,ROUND(3*((100-R9*10)/50)+1,1))</f>
        <v>5</v>
      </c>
      <c r="T9" s="25">
        <f t="shared" ref="T9:T126" si="2">IF(S9&gt;4,5,IF((S9-TRUNC(S9))&lt;0.3,TRUNC(S9),IF((S9-TRUNC(S9))&gt;=0.7,TRUNC(S9)+0.7,TRUNC(S9)+0.3)))</f>
        <v>5</v>
      </c>
      <c r="U9" s="6"/>
      <c r="V9" s="6"/>
      <c r="W9" s="6"/>
      <c r="X9" s="6"/>
      <c r="Y9" s="6"/>
      <c r="Z9" s="6"/>
      <c r="AA9" s="6"/>
      <c r="AB9" s="6"/>
    </row>
    <row r="10" spans="1:28" ht="15.75" customHeight="1" x14ac:dyDescent="0.3">
      <c r="A10" s="21">
        <v>2</v>
      </c>
      <c r="B10" s="22" t="s">
        <v>22</v>
      </c>
      <c r="C10" s="22">
        <v>10421127</v>
      </c>
      <c r="D10" s="22" t="s">
        <v>27</v>
      </c>
      <c r="E10" s="22" t="s">
        <v>28</v>
      </c>
      <c r="F10" s="21">
        <v>1</v>
      </c>
      <c r="G10" s="22" t="s">
        <v>29</v>
      </c>
      <c r="H10" s="22">
        <v>1.3</v>
      </c>
      <c r="I10" s="22"/>
      <c r="J10" s="23">
        <f>VLOOKUP(C10,Lab!$C$9:$I$126, 6, FALSE)</f>
        <v>10</v>
      </c>
      <c r="K10" s="23">
        <f>VLOOKUP(C10,Lab!$C$9:$I$126, 7, FALSE)</f>
        <v>10</v>
      </c>
      <c r="L10" s="6">
        <f>_xlfn.IFNA(VLOOKUP(C10, exam!$A$2:$C$115,3,FALSE),0)</f>
        <v>7</v>
      </c>
      <c r="M10" s="20">
        <v>10</v>
      </c>
      <c r="N10" s="20">
        <v>1</v>
      </c>
      <c r="O10" s="6"/>
      <c r="P10" s="6"/>
      <c r="Q10" s="6"/>
      <c r="R10" s="6">
        <f t="shared" si="0"/>
        <v>9.1999999999999993</v>
      </c>
      <c r="S10" s="25">
        <f t="shared" si="1"/>
        <v>1.5</v>
      </c>
      <c r="T10" s="25">
        <f t="shared" si="2"/>
        <v>1.3</v>
      </c>
      <c r="U10" s="6"/>
      <c r="V10" s="6"/>
      <c r="W10" s="6"/>
      <c r="X10" s="6"/>
      <c r="Y10" s="6"/>
      <c r="Z10" s="6"/>
      <c r="AA10" s="6"/>
      <c r="AB10" s="6"/>
    </row>
    <row r="11" spans="1:28" ht="15.75" customHeight="1" x14ac:dyDescent="0.3">
      <c r="A11" s="21">
        <v>3</v>
      </c>
      <c r="B11" s="22" t="s">
        <v>30</v>
      </c>
      <c r="C11" s="22">
        <v>10422002</v>
      </c>
      <c r="D11" s="22" t="s">
        <v>31</v>
      </c>
      <c r="E11" s="22" t="s">
        <v>32</v>
      </c>
      <c r="F11" s="21">
        <v>1</v>
      </c>
      <c r="G11" s="22" t="s">
        <v>33</v>
      </c>
      <c r="H11" s="22">
        <v>2.2999999999999998</v>
      </c>
      <c r="I11" s="22"/>
      <c r="J11" s="23">
        <f>VLOOKUP(C11,Lab!$C$9:$I$126, 6, FALSE)</f>
        <v>0</v>
      </c>
      <c r="K11" s="23">
        <f>VLOOKUP(C11,Lab!$C$9:$I$126, 7, FALSE)</f>
        <v>10</v>
      </c>
      <c r="L11" s="6">
        <f>_xlfn.IFNA(VLOOKUP(C11, exam!$A$2:$C$115,3,FALSE),0)</f>
        <v>7.25</v>
      </c>
      <c r="M11" s="20">
        <v>10</v>
      </c>
      <c r="N11" s="20">
        <v>0</v>
      </c>
      <c r="O11" s="6"/>
      <c r="P11" s="6"/>
      <c r="Q11" s="6"/>
      <c r="R11" s="6">
        <f t="shared" si="0"/>
        <v>7.9</v>
      </c>
      <c r="S11" s="25">
        <f t="shared" si="1"/>
        <v>2.2999999999999998</v>
      </c>
      <c r="T11" s="25">
        <f t="shared" si="2"/>
        <v>2.2999999999999998</v>
      </c>
      <c r="U11" s="6"/>
      <c r="V11" s="6"/>
      <c r="W11" s="6"/>
      <c r="X11" s="6"/>
      <c r="Y11" s="6"/>
      <c r="Z11" s="6"/>
      <c r="AA11" s="6"/>
      <c r="AB11" s="6"/>
    </row>
    <row r="12" spans="1:28" ht="15.75" customHeight="1" x14ac:dyDescent="0.3">
      <c r="A12" s="21">
        <v>4</v>
      </c>
      <c r="B12" s="22" t="s">
        <v>30</v>
      </c>
      <c r="C12" s="22">
        <v>10422003</v>
      </c>
      <c r="D12" s="22" t="s">
        <v>34</v>
      </c>
      <c r="E12" s="22" t="s">
        <v>32</v>
      </c>
      <c r="F12" s="21">
        <v>1</v>
      </c>
      <c r="G12" s="22" t="s">
        <v>35</v>
      </c>
      <c r="H12" s="22">
        <v>4</v>
      </c>
      <c r="I12" s="22"/>
      <c r="J12" s="23">
        <f>VLOOKUP(C12,Lab!$C$9:$I$126, 6, FALSE)</f>
        <v>10</v>
      </c>
      <c r="K12" s="23">
        <f>VLOOKUP(C12,Lab!$C$9:$I$126, 7, FALSE)</f>
        <v>10</v>
      </c>
      <c r="L12" s="6">
        <f>_xlfn.IFNA(VLOOKUP(C12, exam!$A$2:$C$115,3,FALSE),0)</f>
        <v>5.5</v>
      </c>
      <c r="M12" s="20">
        <v>2</v>
      </c>
      <c r="N12" s="6"/>
      <c r="O12" s="6"/>
      <c r="P12" s="6"/>
      <c r="Q12" s="6"/>
      <c r="R12" s="6">
        <f t="shared" si="0"/>
        <v>5</v>
      </c>
      <c r="S12" s="25">
        <f t="shared" si="1"/>
        <v>4</v>
      </c>
      <c r="T12" s="25">
        <f t="shared" si="2"/>
        <v>4</v>
      </c>
      <c r="U12" s="6"/>
      <c r="V12" s="6"/>
      <c r="W12" s="6"/>
      <c r="X12" s="6"/>
      <c r="Y12" s="6"/>
      <c r="Z12" s="6"/>
      <c r="AA12" s="6"/>
      <c r="AB12" s="6"/>
    </row>
    <row r="13" spans="1:28" ht="15.75" customHeight="1" x14ac:dyDescent="0.3">
      <c r="A13" s="21">
        <v>5</v>
      </c>
      <c r="B13" s="22" t="s">
        <v>30</v>
      </c>
      <c r="C13" s="22">
        <v>10422004</v>
      </c>
      <c r="D13" s="22" t="s">
        <v>36</v>
      </c>
      <c r="E13" s="22" t="s">
        <v>32</v>
      </c>
      <c r="F13" s="21">
        <v>1</v>
      </c>
      <c r="G13" s="22" t="s">
        <v>37</v>
      </c>
      <c r="H13" s="22">
        <v>1</v>
      </c>
      <c r="I13" s="22"/>
      <c r="J13" s="23">
        <f>VLOOKUP(C13,Lab!$C$9:$I$126, 6, FALSE)</f>
        <v>10</v>
      </c>
      <c r="K13" s="23">
        <f>VLOOKUP(C13,Lab!$C$9:$I$126, 7, FALSE)</f>
        <v>10</v>
      </c>
      <c r="L13" s="6">
        <f>_xlfn.IFNA(VLOOKUP(C13, exam!$A$2:$C$115,3,FALSE),0)</f>
        <v>9</v>
      </c>
      <c r="M13" s="20">
        <v>10</v>
      </c>
      <c r="N13" s="20">
        <v>1</v>
      </c>
      <c r="O13" s="6"/>
      <c r="P13" s="6"/>
      <c r="Q13" s="6"/>
      <c r="R13" s="6">
        <f t="shared" si="0"/>
        <v>10</v>
      </c>
      <c r="S13" s="25">
        <f t="shared" si="1"/>
        <v>1</v>
      </c>
      <c r="T13" s="25">
        <f t="shared" si="2"/>
        <v>1</v>
      </c>
      <c r="U13" s="6"/>
      <c r="V13" s="6"/>
      <c r="W13" s="6"/>
      <c r="X13" s="6"/>
      <c r="Y13" s="6"/>
      <c r="Z13" s="6"/>
      <c r="AA13" s="6"/>
      <c r="AB13" s="6"/>
    </row>
    <row r="14" spans="1:28" ht="15.75" customHeight="1" x14ac:dyDescent="0.3">
      <c r="A14" s="21">
        <v>6</v>
      </c>
      <c r="B14" s="22" t="s">
        <v>30</v>
      </c>
      <c r="C14" s="22">
        <v>10222040</v>
      </c>
      <c r="D14" s="22" t="s">
        <v>38</v>
      </c>
      <c r="E14" s="22" t="s">
        <v>39</v>
      </c>
      <c r="F14" s="21">
        <v>1</v>
      </c>
      <c r="G14" s="22" t="s">
        <v>40</v>
      </c>
      <c r="H14" s="22">
        <v>5</v>
      </c>
      <c r="I14" s="22"/>
      <c r="J14" s="23">
        <f>VLOOKUP(C14,Lab!$C$9:$I$126, 6, FALSE)</f>
        <v>0</v>
      </c>
      <c r="K14" s="23">
        <f>VLOOKUP(C14,Lab!$C$9:$I$126, 7, FALSE)</f>
        <v>10</v>
      </c>
      <c r="L14" s="6">
        <f>_xlfn.IFNA(VLOOKUP(C14, exam!$A$2:$C$115,3,FALSE),0)</f>
        <v>4.25</v>
      </c>
      <c r="M14" s="26"/>
      <c r="N14" s="26"/>
      <c r="O14" s="20" t="s">
        <v>41</v>
      </c>
      <c r="P14" s="6"/>
      <c r="Q14" s="6"/>
      <c r="R14" s="6">
        <f t="shared" si="0"/>
        <v>2.7</v>
      </c>
      <c r="S14" s="25">
        <f t="shared" si="1"/>
        <v>5</v>
      </c>
      <c r="T14" s="25">
        <f t="shared" si="2"/>
        <v>5</v>
      </c>
      <c r="U14" s="6"/>
      <c r="V14" s="6"/>
      <c r="W14" s="6"/>
      <c r="X14" s="6"/>
      <c r="Y14" s="6"/>
      <c r="Z14" s="6"/>
      <c r="AA14" s="6"/>
      <c r="AB14" s="6"/>
    </row>
    <row r="15" spans="1:28" ht="15.75" customHeight="1" x14ac:dyDescent="0.3">
      <c r="A15" s="21">
        <v>7</v>
      </c>
      <c r="B15" s="22" t="s">
        <v>30</v>
      </c>
      <c r="C15" s="22">
        <v>10422005</v>
      </c>
      <c r="D15" s="22" t="s">
        <v>42</v>
      </c>
      <c r="E15" s="22" t="s">
        <v>39</v>
      </c>
      <c r="F15" s="21">
        <v>1</v>
      </c>
      <c r="G15" s="22" t="s">
        <v>43</v>
      </c>
      <c r="H15" s="22">
        <v>1.7</v>
      </c>
      <c r="I15" s="22"/>
      <c r="J15" s="23">
        <f>VLOOKUP(C15,Lab!$C$9:$I$126, 6, FALSE)</f>
        <v>0</v>
      </c>
      <c r="K15" s="23">
        <f>VLOOKUP(C15,Lab!$C$9:$I$126, 7, FALSE)</f>
        <v>10</v>
      </c>
      <c r="L15" s="6">
        <f>_xlfn.IFNA(VLOOKUP(C15, exam!$A$2:$C$115,3,FALSE),0)</f>
        <v>8</v>
      </c>
      <c r="M15" s="20">
        <v>10</v>
      </c>
      <c r="N15" s="20">
        <v>1</v>
      </c>
      <c r="O15" s="6"/>
      <c r="P15" s="6"/>
      <c r="Q15" s="6"/>
      <c r="R15" s="6">
        <f t="shared" si="0"/>
        <v>8.6</v>
      </c>
      <c r="S15" s="25">
        <f t="shared" si="1"/>
        <v>1.8</v>
      </c>
      <c r="T15" s="25">
        <f t="shared" si="2"/>
        <v>1.7</v>
      </c>
      <c r="U15" s="6"/>
      <c r="V15" s="6"/>
      <c r="W15" s="6"/>
      <c r="X15" s="6"/>
      <c r="Y15" s="6"/>
      <c r="Z15" s="6"/>
      <c r="AA15" s="6"/>
      <c r="AB15" s="6"/>
    </row>
    <row r="16" spans="1:28" ht="15.75" customHeight="1" x14ac:dyDescent="0.3">
      <c r="A16" s="21">
        <v>8</v>
      </c>
      <c r="B16" s="22" t="s">
        <v>30</v>
      </c>
      <c r="C16" s="22">
        <v>10422006</v>
      </c>
      <c r="D16" s="22" t="s">
        <v>44</v>
      </c>
      <c r="E16" s="22" t="s">
        <v>39</v>
      </c>
      <c r="F16" s="21">
        <v>1</v>
      </c>
      <c r="G16" s="22" t="s">
        <v>45</v>
      </c>
      <c r="H16" s="22">
        <v>2</v>
      </c>
      <c r="I16" s="22"/>
      <c r="J16" s="23">
        <f>VLOOKUP(C16,Lab!$C$9:$I$126, 6, FALSE)</f>
        <v>10</v>
      </c>
      <c r="K16" s="23">
        <f>VLOOKUP(C16,Lab!$C$9:$I$126, 7, FALSE)</f>
        <v>10</v>
      </c>
      <c r="L16" s="6">
        <f>_xlfn.IFNA(VLOOKUP(C16, exam!$A$2:$C$115,3,FALSE),0)</f>
        <v>4.75</v>
      </c>
      <c r="M16" s="20">
        <v>10</v>
      </c>
      <c r="N16" s="20">
        <v>1</v>
      </c>
      <c r="O16" s="6"/>
      <c r="P16" s="6"/>
      <c r="Q16" s="6"/>
      <c r="R16" s="6">
        <f t="shared" si="0"/>
        <v>8.3000000000000007</v>
      </c>
      <c r="S16" s="25">
        <f t="shared" si="1"/>
        <v>2</v>
      </c>
      <c r="T16" s="25">
        <f t="shared" si="2"/>
        <v>2</v>
      </c>
      <c r="U16" s="6"/>
      <c r="V16" s="6"/>
      <c r="W16" s="6"/>
      <c r="X16" s="6"/>
      <c r="Y16" s="6"/>
      <c r="Z16" s="6"/>
      <c r="AA16" s="6"/>
      <c r="AB16" s="6"/>
    </row>
    <row r="17" spans="1:28" ht="15.75" customHeight="1" x14ac:dyDescent="0.3">
      <c r="A17" s="21">
        <v>9</v>
      </c>
      <c r="B17" s="22" t="s">
        <v>30</v>
      </c>
      <c r="C17" s="22">
        <v>10422009</v>
      </c>
      <c r="D17" s="22" t="s">
        <v>46</v>
      </c>
      <c r="E17" s="22" t="s">
        <v>39</v>
      </c>
      <c r="F17" s="21">
        <v>1</v>
      </c>
      <c r="G17" s="22" t="s">
        <v>47</v>
      </c>
      <c r="H17" s="22">
        <v>2</v>
      </c>
      <c r="I17" s="22"/>
      <c r="J17" s="23">
        <f>VLOOKUP(C17,Lab!$C$9:$I$126, 6, FALSE)</f>
        <v>8</v>
      </c>
      <c r="K17" s="23">
        <f>VLOOKUP(C17,Lab!$C$9:$I$126, 7, FALSE)</f>
        <v>10</v>
      </c>
      <c r="L17" s="6">
        <f>_xlfn.IFNA(VLOOKUP(C17, exam!$A$2:$C$115,3,FALSE),0)</f>
        <v>5.5</v>
      </c>
      <c r="M17" s="20">
        <v>10</v>
      </c>
      <c r="N17" s="20">
        <v>1</v>
      </c>
      <c r="O17" s="6"/>
      <c r="P17" s="6"/>
      <c r="Q17" s="6"/>
      <c r="R17" s="6">
        <f t="shared" si="0"/>
        <v>8.4</v>
      </c>
      <c r="S17" s="25">
        <f t="shared" si="1"/>
        <v>2</v>
      </c>
      <c r="T17" s="25">
        <f t="shared" si="2"/>
        <v>2</v>
      </c>
      <c r="U17" s="6"/>
      <c r="V17" s="6"/>
      <c r="W17" s="6"/>
      <c r="X17" s="6"/>
      <c r="Y17" s="6"/>
      <c r="Z17" s="6"/>
      <c r="AA17" s="6"/>
      <c r="AB17" s="6"/>
    </row>
    <row r="18" spans="1:28" ht="15.75" customHeight="1" x14ac:dyDescent="0.3">
      <c r="A18" s="21">
        <v>10</v>
      </c>
      <c r="B18" s="27" t="s">
        <v>30</v>
      </c>
      <c r="C18" s="27">
        <v>10422086</v>
      </c>
      <c r="D18" s="27" t="s">
        <v>48</v>
      </c>
      <c r="E18" s="27" t="s">
        <v>39</v>
      </c>
      <c r="F18" s="28">
        <v>1</v>
      </c>
      <c r="G18" s="27" t="s">
        <v>49</v>
      </c>
      <c r="H18" s="22">
        <v>1.3</v>
      </c>
      <c r="I18" s="27"/>
      <c r="J18" s="23">
        <f>VLOOKUP(C18,Lab!$C$9:$I$126, 6, FALSE)</f>
        <v>10</v>
      </c>
      <c r="K18" s="23">
        <f>VLOOKUP(C18,Lab!$C$9:$I$126, 7, FALSE)</f>
        <v>10</v>
      </c>
      <c r="L18" s="6">
        <f>_xlfn.IFNA(VLOOKUP(C18, exam!$A$2:$C$115,3,FALSE),0)</f>
        <v>7.75</v>
      </c>
      <c r="M18" s="20">
        <v>10</v>
      </c>
      <c r="N18" s="20">
        <v>1</v>
      </c>
      <c r="O18" s="20" t="s">
        <v>50</v>
      </c>
      <c r="P18" s="6"/>
      <c r="Q18" s="6"/>
      <c r="R18" s="6">
        <f t="shared" si="0"/>
        <v>9.5</v>
      </c>
      <c r="S18" s="25">
        <f t="shared" si="1"/>
        <v>1.3</v>
      </c>
      <c r="T18" s="25">
        <f t="shared" si="2"/>
        <v>1.3</v>
      </c>
      <c r="U18" s="6"/>
      <c r="V18" s="6"/>
      <c r="W18" s="6"/>
      <c r="X18" s="6"/>
      <c r="Y18" s="6"/>
      <c r="Z18" s="6"/>
      <c r="AA18" s="6"/>
      <c r="AB18" s="6"/>
    </row>
    <row r="19" spans="1:28" ht="15.75" customHeight="1" x14ac:dyDescent="0.3">
      <c r="A19" s="21">
        <v>11</v>
      </c>
      <c r="B19" s="22" t="s">
        <v>30</v>
      </c>
      <c r="C19" s="22">
        <v>10422087</v>
      </c>
      <c r="D19" s="22" t="s">
        <v>51</v>
      </c>
      <c r="E19" s="22" t="s">
        <v>52</v>
      </c>
      <c r="F19" s="21">
        <v>1</v>
      </c>
      <c r="G19" s="22" t="s">
        <v>53</v>
      </c>
      <c r="H19" s="22">
        <v>1.3</v>
      </c>
      <c r="I19" s="22"/>
      <c r="J19" s="23">
        <f>VLOOKUP(C19,Lab!$C$9:$I$126, 6, FALSE)</f>
        <v>10</v>
      </c>
      <c r="K19" s="23">
        <f>VLOOKUP(C19,Lab!$C$9:$I$126, 7, FALSE)</f>
        <v>10</v>
      </c>
      <c r="L19" s="6">
        <f>_xlfn.IFNA(VLOOKUP(C19, exam!$A$2:$C$115,3,FALSE),0)</f>
        <v>6.75</v>
      </c>
      <c r="M19" s="20">
        <v>10</v>
      </c>
      <c r="N19" s="20">
        <v>1</v>
      </c>
      <c r="O19" s="6"/>
      <c r="P19" s="6"/>
      <c r="Q19" s="6"/>
      <c r="R19" s="6">
        <f t="shared" si="0"/>
        <v>9.1</v>
      </c>
      <c r="S19" s="25">
        <f t="shared" si="1"/>
        <v>1.5</v>
      </c>
      <c r="T19" s="25">
        <f t="shared" si="2"/>
        <v>1.3</v>
      </c>
      <c r="U19" s="6"/>
      <c r="V19" s="6"/>
      <c r="W19" s="6"/>
      <c r="X19" s="6"/>
      <c r="Y19" s="6"/>
      <c r="Z19" s="6"/>
      <c r="AA19" s="6"/>
      <c r="AB19" s="6"/>
    </row>
    <row r="20" spans="1:28" ht="15.75" customHeight="1" x14ac:dyDescent="0.3">
      <c r="A20" s="21">
        <v>12</v>
      </c>
      <c r="B20" s="29" t="s">
        <v>30</v>
      </c>
      <c r="C20" s="29">
        <v>10421069</v>
      </c>
      <c r="D20" s="29" t="s">
        <v>54</v>
      </c>
      <c r="E20" s="29" t="s">
        <v>55</v>
      </c>
      <c r="F20" s="30">
        <v>1</v>
      </c>
      <c r="G20" s="29" t="s">
        <v>56</v>
      </c>
      <c r="H20" s="22">
        <v>5</v>
      </c>
      <c r="I20" s="29"/>
      <c r="J20" s="23">
        <f>VLOOKUP(C20,Lab!$C$9:$I$126, 6, FALSE)</f>
        <v>0</v>
      </c>
      <c r="K20" s="23">
        <f>VLOOKUP(C20,Lab!$C$9:$I$126, 7, FALSE)</f>
        <v>10</v>
      </c>
      <c r="L20" s="6">
        <f>_xlfn.IFNA(VLOOKUP(C20, exam!$A$2:$C$115,3,FALSE),0)</f>
        <v>6.5</v>
      </c>
      <c r="M20" s="24"/>
      <c r="N20" s="24"/>
      <c r="O20" s="6"/>
      <c r="P20" s="6"/>
      <c r="Q20" s="6"/>
      <c r="R20" s="6">
        <f t="shared" si="0"/>
        <v>3.6</v>
      </c>
      <c r="S20" s="25">
        <f t="shared" si="1"/>
        <v>5</v>
      </c>
      <c r="T20" s="25">
        <f t="shared" si="2"/>
        <v>5</v>
      </c>
      <c r="U20" s="6"/>
      <c r="V20" s="6"/>
      <c r="W20" s="6"/>
      <c r="X20" s="6"/>
      <c r="Y20" s="6"/>
      <c r="Z20" s="6"/>
      <c r="AA20" s="6"/>
      <c r="AB20" s="6"/>
    </row>
    <row r="21" spans="1:28" ht="15.75" customHeight="1" x14ac:dyDescent="0.3">
      <c r="A21" s="21">
        <v>13</v>
      </c>
      <c r="B21" s="22" t="s">
        <v>30</v>
      </c>
      <c r="C21" s="22">
        <v>10421125</v>
      </c>
      <c r="D21" s="22" t="s">
        <v>57</v>
      </c>
      <c r="E21" s="22" t="s">
        <v>55</v>
      </c>
      <c r="F21" s="21">
        <v>1</v>
      </c>
      <c r="G21" s="22" t="s">
        <v>58</v>
      </c>
      <c r="H21" s="22">
        <v>5</v>
      </c>
      <c r="I21" s="22"/>
      <c r="J21" s="23">
        <f>VLOOKUP(C21,Lab!$C$9:$I$126, 6, FALSE)</f>
        <v>0</v>
      </c>
      <c r="K21" s="23">
        <f>VLOOKUP(C21,Lab!$C$9:$I$126, 7, FALSE)</f>
        <v>10</v>
      </c>
      <c r="L21" s="6">
        <f>_xlfn.IFNA(VLOOKUP(C21, exam!$A$2:$C$115,3,FALSE),0)</f>
        <v>6.25</v>
      </c>
      <c r="M21" s="24"/>
      <c r="N21" s="24"/>
      <c r="O21" s="6"/>
      <c r="P21" s="6"/>
      <c r="Q21" s="6"/>
      <c r="R21" s="6">
        <f t="shared" si="0"/>
        <v>3.5</v>
      </c>
      <c r="S21" s="25">
        <f t="shared" si="1"/>
        <v>5</v>
      </c>
      <c r="T21" s="25">
        <f t="shared" si="2"/>
        <v>5</v>
      </c>
      <c r="U21" s="6"/>
      <c r="V21" s="6"/>
      <c r="W21" s="6"/>
      <c r="X21" s="6"/>
      <c r="Y21" s="6"/>
      <c r="Z21" s="6"/>
      <c r="AA21" s="6"/>
      <c r="AB21" s="6"/>
    </row>
    <row r="22" spans="1:28" ht="15.75" customHeight="1" x14ac:dyDescent="0.3">
      <c r="A22" s="21">
        <v>14</v>
      </c>
      <c r="B22" s="22" t="s">
        <v>30</v>
      </c>
      <c r="C22" s="22">
        <v>10422011</v>
      </c>
      <c r="D22" s="22" t="s">
        <v>59</v>
      </c>
      <c r="E22" s="22" t="s">
        <v>55</v>
      </c>
      <c r="F22" s="21">
        <v>1</v>
      </c>
      <c r="G22" s="22" t="s">
        <v>60</v>
      </c>
      <c r="H22" s="22">
        <v>1.3</v>
      </c>
      <c r="I22" s="22"/>
      <c r="J22" s="23">
        <f>VLOOKUP(C22,Lab!$C$9:$I$126, 6, FALSE)</f>
        <v>10</v>
      </c>
      <c r="K22" s="23">
        <f>VLOOKUP(C22,Lab!$C$9:$I$126, 7, FALSE)</f>
        <v>10</v>
      </c>
      <c r="L22" s="6">
        <f>_xlfn.IFNA(VLOOKUP(C22, exam!$A$2:$C$115,3,FALSE),0)</f>
        <v>6.5</v>
      </c>
      <c r="M22" s="20">
        <v>10</v>
      </c>
      <c r="N22" s="20">
        <v>2</v>
      </c>
      <c r="O22" s="6"/>
      <c r="P22" s="6"/>
      <c r="Q22" s="6"/>
      <c r="R22" s="6">
        <f t="shared" si="0"/>
        <v>9.4</v>
      </c>
      <c r="S22" s="25">
        <f t="shared" si="1"/>
        <v>1.4</v>
      </c>
      <c r="T22" s="25">
        <f t="shared" si="2"/>
        <v>1.3</v>
      </c>
      <c r="U22" s="6"/>
      <c r="V22" s="6"/>
      <c r="W22" s="6"/>
      <c r="X22" s="6"/>
      <c r="Y22" s="6"/>
      <c r="Z22" s="6"/>
      <c r="AA22" s="6"/>
      <c r="AB22" s="6"/>
    </row>
    <row r="23" spans="1:28" ht="15.75" customHeight="1" x14ac:dyDescent="0.3">
      <c r="A23" s="21">
        <v>15</v>
      </c>
      <c r="B23" s="22" t="s">
        <v>30</v>
      </c>
      <c r="C23" s="22">
        <v>10422012</v>
      </c>
      <c r="D23" s="22" t="s">
        <v>61</v>
      </c>
      <c r="E23" s="22" t="s">
        <v>55</v>
      </c>
      <c r="F23" s="21">
        <v>1</v>
      </c>
      <c r="G23" s="22" t="s">
        <v>62</v>
      </c>
      <c r="H23" s="22">
        <v>2.7</v>
      </c>
      <c r="I23" s="22"/>
      <c r="J23" s="23">
        <f>VLOOKUP(C23,Lab!$C$9:$I$126, 6, FALSE)</f>
        <v>10</v>
      </c>
      <c r="K23" s="23">
        <f>VLOOKUP(C23,Lab!$C$9:$I$126, 7, FALSE)</f>
        <v>10</v>
      </c>
      <c r="L23" s="6">
        <f>_xlfn.IFNA(VLOOKUP(C23, exam!$A$2:$C$115,3,FALSE),0)</f>
        <v>7.5</v>
      </c>
      <c r="M23" s="20">
        <v>5</v>
      </c>
      <c r="N23" s="6"/>
      <c r="O23" s="20"/>
      <c r="P23" s="6"/>
      <c r="Q23" s="6"/>
      <c r="R23" s="6">
        <f t="shared" si="0"/>
        <v>7</v>
      </c>
      <c r="S23" s="25">
        <f t="shared" si="1"/>
        <v>2.8</v>
      </c>
      <c r="T23" s="25">
        <f t="shared" si="2"/>
        <v>2.7</v>
      </c>
      <c r="U23" s="6"/>
      <c r="V23" s="6"/>
      <c r="W23" s="6"/>
      <c r="X23" s="6"/>
      <c r="Y23" s="6"/>
      <c r="Z23" s="6"/>
      <c r="AA23" s="6"/>
      <c r="AB23" s="6"/>
    </row>
    <row r="24" spans="1:28" ht="15.75" customHeight="1" x14ac:dyDescent="0.3">
      <c r="A24" s="21">
        <v>16</v>
      </c>
      <c r="B24" s="22" t="s">
        <v>30</v>
      </c>
      <c r="C24" s="22">
        <v>10422013</v>
      </c>
      <c r="D24" s="22" t="s">
        <v>63</v>
      </c>
      <c r="E24" s="22" t="s">
        <v>55</v>
      </c>
      <c r="F24" s="21">
        <v>1</v>
      </c>
      <c r="G24" s="22" t="s">
        <v>64</v>
      </c>
      <c r="H24" s="22">
        <v>3.7</v>
      </c>
      <c r="I24" s="22"/>
      <c r="J24" s="23">
        <f>VLOOKUP(C24,Lab!$C$9:$I$126, 6, FALSE)</f>
        <v>10</v>
      </c>
      <c r="K24" s="23">
        <f>VLOOKUP(C24,Lab!$C$9:$I$126, 7, FALSE)</f>
        <v>10</v>
      </c>
      <c r="L24" s="6">
        <f>_xlfn.IFNA(VLOOKUP(C24, exam!$A$2:$C$115,3,FALSE),0)</f>
        <v>7.75</v>
      </c>
      <c r="M24" s="24"/>
      <c r="N24" s="24"/>
      <c r="O24" s="6"/>
      <c r="P24" s="6"/>
      <c r="Q24" s="6"/>
      <c r="R24" s="6">
        <f t="shared" si="0"/>
        <v>5.0999999999999996</v>
      </c>
      <c r="S24" s="25">
        <f t="shared" si="1"/>
        <v>3.9</v>
      </c>
      <c r="T24" s="25">
        <f t="shared" si="2"/>
        <v>3.7</v>
      </c>
      <c r="U24" s="6"/>
      <c r="V24" s="6"/>
      <c r="W24" s="6"/>
      <c r="X24" s="6"/>
      <c r="Y24" s="6"/>
      <c r="Z24" s="6"/>
      <c r="AA24" s="6"/>
      <c r="AB24" s="6"/>
    </row>
    <row r="25" spans="1:28" ht="15.75" customHeight="1" x14ac:dyDescent="0.3">
      <c r="A25" s="21">
        <v>17</v>
      </c>
      <c r="B25" s="22" t="s">
        <v>30</v>
      </c>
      <c r="C25" s="22">
        <v>10422014</v>
      </c>
      <c r="D25" s="22" t="s">
        <v>65</v>
      </c>
      <c r="E25" s="22" t="s">
        <v>55</v>
      </c>
      <c r="F25" s="21">
        <v>1</v>
      </c>
      <c r="G25" s="22" t="s">
        <v>66</v>
      </c>
      <c r="H25" s="22">
        <v>2.7</v>
      </c>
      <c r="I25" s="22"/>
      <c r="J25" s="23">
        <f>VLOOKUP(C25,Lab!$C$9:$I$126, 6, FALSE)</f>
        <v>0</v>
      </c>
      <c r="K25" s="23">
        <f>VLOOKUP(C25,Lab!$C$9:$I$126, 7, FALSE)</f>
        <v>10</v>
      </c>
      <c r="L25" s="6">
        <f>_xlfn.IFNA(VLOOKUP(C25, exam!$A$2:$C$115,3,FALSE),0)</f>
        <v>5.25</v>
      </c>
      <c r="M25" s="20">
        <v>10</v>
      </c>
      <c r="N25" s="6"/>
      <c r="O25" s="6"/>
      <c r="P25" s="6"/>
      <c r="Q25" s="6"/>
      <c r="R25" s="6">
        <f t="shared" si="0"/>
        <v>7.1</v>
      </c>
      <c r="S25" s="25">
        <f t="shared" si="1"/>
        <v>2.7</v>
      </c>
      <c r="T25" s="25">
        <f t="shared" si="2"/>
        <v>2.7</v>
      </c>
      <c r="U25" s="6"/>
      <c r="V25" s="6"/>
      <c r="W25" s="6"/>
      <c r="X25" s="6"/>
      <c r="Y25" s="6"/>
      <c r="Z25" s="6"/>
      <c r="AA25" s="6"/>
      <c r="AB25" s="6"/>
    </row>
    <row r="26" spans="1:28" ht="15.75" customHeight="1" x14ac:dyDescent="0.3">
      <c r="A26" s="21">
        <v>18</v>
      </c>
      <c r="B26" s="22" t="s">
        <v>30</v>
      </c>
      <c r="C26" s="22">
        <v>10422015</v>
      </c>
      <c r="D26" s="22" t="s">
        <v>67</v>
      </c>
      <c r="E26" s="22" t="s">
        <v>55</v>
      </c>
      <c r="F26" s="21">
        <v>1</v>
      </c>
      <c r="G26" s="22" t="s">
        <v>68</v>
      </c>
      <c r="H26" s="22">
        <v>2</v>
      </c>
      <c r="I26" s="22"/>
      <c r="J26" s="23">
        <f>VLOOKUP(C26,Lab!$C$9:$I$126, 6, FALSE)</f>
        <v>10</v>
      </c>
      <c r="K26" s="23">
        <f>VLOOKUP(C26,Lab!$C$9:$I$126, 7, FALSE)</f>
        <v>10</v>
      </c>
      <c r="L26" s="6">
        <f>_xlfn.IFNA(VLOOKUP(C26, exam!$A$2:$C$115,3,FALSE),0)</f>
        <v>7.25</v>
      </c>
      <c r="M26" s="20">
        <v>8</v>
      </c>
      <c r="N26" s="6"/>
      <c r="O26" s="6"/>
      <c r="P26" s="6"/>
      <c r="Q26" s="6"/>
      <c r="R26" s="6">
        <f t="shared" si="0"/>
        <v>8.1000000000000014</v>
      </c>
      <c r="S26" s="25">
        <f t="shared" si="1"/>
        <v>2.1</v>
      </c>
      <c r="T26" s="25">
        <f t="shared" si="2"/>
        <v>2</v>
      </c>
      <c r="U26" s="6"/>
      <c r="V26" s="6"/>
      <c r="W26" s="6"/>
      <c r="X26" s="6"/>
      <c r="Y26" s="6"/>
      <c r="Z26" s="6"/>
      <c r="AA26" s="6"/>
      <c r="AB26" s="6"/>
    </row>
    <row r="27" spans="1:28" ht="15.75" customHeight="1" x14ac:dyDescent="0.3">
      <c r="A27" s="21">
        <v>19</v>
      </c>
      <c r="B27" s="22" t="s">
        <v>30</v>
      </c>
      <c r="C27" s="22">
        <v>10422123</v>
      </c>
      <c r="D27" s="22" t="s">
        <v>59</v>
      </c>
      <c r="E27" s="22" t="s">
        <v>55</v>
      </c>
      <c r="F27" s="21">
        <v>1</v>
      </c>
      <c r="G27" s="22" t="s">
        <v>69</v>
      </c>
      <c r="H27" s="22">
        <v>3.7</v>
      </c>
      <c r="I27" s="22"/>
      <c r="J27" s="23">
        <f>VLOOKUP(C27,Lab!$C$9:$I$126, 6, FALSE)</f>
        <v>0</v>
      </c>
      <c r="K27" s="23">
        <f>VLOOKUP(C27,Lab!$C$9:$I$126, 7, FALSE)</f>
        <v>10</v>
      </c>
      <c r="L27" s="6">
        <f>_xlfn.IFNA(VLOOKUP(C27, exam!$A$2:$C$115,3,FALSE),0)</f>
        <v>6.25</v>
      </c>
      <c r="M27" s="20">
        <v>5</v>
      </c>
      <c r="N27" s="20"/>
      <c r="O27" s="6"/>
      <c r="P27" s="6"/>
      <c r="Q27" s="6"/>
      <c r="R27" s="6">
        <f t="shared" si="0"/>
        <v>5.5</v>
      </c>
      <c r="S27" s="25">
        <f t="shared" si="1"/>
        <v>3.7</v>
      </c>
      <c r="T27" s="25">
        <f t="shared" si="2"/>
        <v>3.7</v>
      </c>
      <c r="U27" s="6"/>
      <c r="V27" s="6"/>
      <c r="W27" s="6"/>
      <c r="X27" s="6"/>
      <c r="Y27" s="6"/>
      <c r="Z27" s="6"/>
      <c r="AA27" s="6"/>
      <c r="AB27" s="6"/>
    </row>
    <row r="28" spans="1:28" ht="15.75" customHeight="1" x14ac:dyDescent="0.3">
      <c r="A28" s="21">
        <v>20</v>
      </c>
      <c r="B28" s="22" t="s">
        <v>30</v>
      </c>
      <c r="C28" s="22">
        <v>10422089</v>
      </c>
      <c r="D28" s="22" t="s">
        <v>70</v>
      </c>
      <c r="E28" s="22" t="s">
        <v>71</v>
      </c>
      <c r="F28" s="21">
        <v>1</v>
      </c>
      <c r="G28" s="22" t="s">
        <v>72</v>
      </c>
      <c r="H28" s="22">
        <v>2.7</v>
      </c>
      <c r="I28" s="22"/>
      <c r="J28" s="23">
        <f>VLOOKUP(C28,Lab!$C$9:$I$126, 6, FALSE)</f>
        <v>0</v>
      </c>
      <c r="K28" s="23">
        <f>VLOOKUP(C28,Lab!$C$9:$I$126, 7, FALSE)</f>
        <v>10</v>
      </c>
      <c r="L28" s="6">
        <f>_xlfn.IFNA(VLOOKUP(C28, exam!$A$2:$C$115,3,FALSE),0)</f>
        <v>7</v>
      </c>
      <c r="M28" s="20">
        <v>8</v>
      </c>
      <c r="N28" s="6"/>
      <c r="O28" s="6"/>
      <c r="P28" s="6"/>
      <c r="Q28" s="6"/>
      <c r="R28" s="6">
        <f t="shared" si="0"/>
        <v>7</v>
      </c>
      <c r="S28" s="25">
        <f t="shared" si="1"/>
        <v>2.8</v>
      </c>
      <c r="T28" s="25">
        <f t="shared" si="2"/>
        <v>2.7</v>
      </c>
      <c r="U28" s="6"/>
      <c r="V28" s="6"/>
      <c r="W28" s="6"/>
      <c r="X28" s="6"/>
      <c r="Y28" s="6"/>
      <c r="Z28" s="6"/>
      <c r="AA28" s="6"/>
      <c r="AB28" s="6"/>
    </row>
    <row r="29" spans="1:28" ht="15.75" customHeight="1" x14ac:dyDescent="0.3">
      <c r="A29" s="31">
        <v>21</v>
      </c>
      <c r="B29" s="32" t="s">
        <v>30</v>
      </c>
      <c r="C29" s="32">
        <v>10422017</v>
      </c>
      <c r="D29" s="32" t="s">
        <v>73</v>
      </c>
      <c r="E29" s="32" t="s">
        <v>74</v>
      </c>
      <c r="F29" s="31">
        <v>1</v>
      </c>
      <c r="G29" s="32" t="s">
        <v>75</v>
      </c>
      <c r="H29" s="33">
        <v>1</v>
      </c>
      <c r="I29" s="32"/>
      <c r="J29" s="34">
        <v>10</v>
      </c>
      <c r="K29" s="35">
        <f>VLOOKUP(C29,Lab!$C$9:$I$126, 7, FALSE)</f>
        <v>10</v>
      </c>
      <c r="L29" s="6">
        <f>_xlfn.IFNA(VLOOKUP(C29, exam!$A$2:$C$115,3,FALSE),0)</f>
        <v>8.75</v>
      </c>
      <c r="M29" s="37">
        <v>10</v>
      </c>
      <c r="N29" s="37">
        <v>1</v>
      </c>
      <c r="O29" s="36"/>
      <c r="P29" s="36"/>
      <c r="Q29" s="36"/>
      <c r="R29" s="36">
        <f t="shared" si="0"/>
        <v>9.9</v>
      </c>
      <c r="S29" s="38">
        <f t="shared" si="1"/>
        <v>1.1000000000000001</v>
      </c>
      <c r="T29" s="38">
        <f t="shared" si="2"/>
        <v>1</v>
      </c>
      <c r="U29" s="36"/>
      <c r="V29" s="36"/>
      <c r="W29" s="36"/>
      <c r="X29" s="36"/>
      <c r="Y29" s="36"/>
      <c r="Z29" s="36"/>
      <c r="AA29" s="36"/>
      <c r="AB29" s="36"/>
    </row>
    <row r="30" spans="1:28" ht="15.75" customHeight="1" x14ac:dyDescent="0.3">
      <c r="A30" s="21">
        <v>22</v>
      </c>
      <c r="B30" s="22" t="s">
        <v>30</v>
      </c>
      <c r="C30" s="22">
        <v>10422091</v>
      </c>
      <c r="D30" s="22" t="s">
        <v>76</v>
      </c>
      <c r="E30" s="22" t="s">
        <v>74</v>
      </c>
      <c r="F30" s="21">
        <v>1</v>
      </c>
      <c r="G30" s="22" t="s">
        <v>77</v>
      </c>
      <c r="H30" s="22">
        <v>1.7</v>
      </c>
      <c r="I30" s="22"/>
      <c r="J30" s="23">
        <f>VLOOKUP(C30,Lab!$C$9:$I$126, 6, FALSE)</f>
        <v>4</v>
      </c>
      <c r="K30" s="23">
        <f>VLOOKUP(C30,Lab!$C$9:$I$126, 7, FALSE)</f>
        <v>10</v>
      </c>
      <c r="L30" s="6">
        <f>_xlfn.IFNA(VLOOKUP(C30, exam!$A$2:$C$115,3,FALSE),0)</f>
        <v>8</v>
      </c>
      <c r="M30" s="20">
        <v>10</v>
      </c>
      <c r="N30" s="6"/>
      <c r="O30" s="6"/>
      <c r="P30" s="6"/>
      <c r="Q30" s="6"/>
      <c r="R30" s="6">
        <f t="shared" si="0"/>
        <v>8.6</v>
      </c>
      <c r="S30" s="25">
        <f t="shared" si="1"/>
        <v>1.8</v>
      </c>
      <c r="T30" s="25">
        <f t="shared" si="2"/>
        <v>1.7</v>
      </c>
      <c r="U30" s="6"/>
      <c r="V30" s="6"/>
      <c r="W30" s="6"/>
      <c r="X30" s="6"/>
      <c r="Y30" s="6"/>
      <c r="Z30" s="6"/>
      <c r="AA30" s="6"/>
      <c r="AB30" s="6"/>
    </row>
    <row r="31" spans="1:28" ht="15.75" customHeight="1" x14ac:dyDescent="0.3">
      <c r="A31" s="21">
        <v>23</v>
      </c>
      <c r="B31" s="22" t="s">
        <v>30</v>
      </c>
      <c r="C31" s="22">
        <v>10422018</v>
      </c>
      <c r="D31" s="22" t="s">
        <v>78</v>
      </c>
      <c r="E31" s="22" t="s">
        <v>79</v>
      </c>
      <c r="F31" s="21">
        <v>1</v>
      </c>
      <c r="G31" s="22" t="s">
        <v>80</v>
      </c>
      <c r="H31" s="22">
        <v>2</v>
      </c>
      <c r="I31" s="22"/>
      <c r="J31" s="23">
        <f>VLOOKUP(C31,Lab!$C$9:$I$126, 6, FALSE)</f>
        <v>0</v>
      </c>
      <c r="K31" s="23">
        <f>VLOOKUP(C31,Lab!$C$9:$I$126, 7, FALSE)</f>
        <v>10</v>
      </c>
      <c r="L31" s="6">
        <f>_xlfn.IFNA(VLOOKUP(C31, exam!$A$2:$C$115,3,FALSE),0)</f>
        <v>7.75</v>
      </c>
      <c r="M31" s="20">
        <v>10</v>
      </c>
      <c r="N31" s="20">
        <v>0</v>
      </c>
      <c r="O31" s="6"/>
      <c r="P31" s="6"/>
      <c r="Q31" s="6"/>
      <c r="R31" s="6">
        <f t="shared" si="0"/>
        <v>8.1</v>
      </c>
      <c r="S31" s="25">
        <f t="shared" si="1"/>
        <v>2.1</v>
      </c>
      <c r="T31" s="25">
        <f t="shared" si="2"/>
        <v>2</v>
      </c>
      <c r="U31" s="6"/>
      <c r="V31" s="6"/>
      <c r="W31" s="6"/>
      <c r="X31" s="6"/>
      <c r="Y31" s="6"/>
      <c r="Z31" s="6"/>
      <c r="AA31" s="6"/>
      <c r="AB31" s="6"/>
    </row>
    <row r="32" spans="1:28" ht="15.75" customHeight="1" x14ac:dyDescent="0.3">
      <c r="A32" s="21">
        <v>24</v>
      </c>
      <c r="B32" s="22" t="s">
        <v>30</v>
      </c>
      <c r="C32" s="22">
        <v>10422019</v>
      </c>
      <c r="D32" s="22" t="s">
        <v>81</v>
      </c>
      <c r="E32" s="22" t="s">
        <v>82</v>
      </c>
      <c r="F32" s="21">
        <v>1</v>
      </c>
      <c r="G32" s="22" t="s">
        <v>83</v>
      </c>
      <c r="H32" s="22">
        <v>1.7</v>
      </c>
      <c r="I32" s="22"/>
      <c r="J32" s="23">
        <f>VLOOKUP(C32,Lab!$C$9:$I$126, 6, FALSE)</f>
        <v>10</v>
      </c>
      <c r="K32" s="23">
        <f>VLOOKUP(C32,Lab!$C$9:$I$126, 7, FALSE)</f>
        <v>10</v>
      </c>
      <c r="L32" s="6">
        <f>_xlfn.IFNA(VLOOKUP(C32, exam!$A$2:$C$115,3,FALSE),0)</f>
        <v>6.25</v>
      </c>
      <c r="M32" s="20">
        <v>10</v>
      </c>
      <c r="N32" s="20">
        <v>1</v>
      </c>
      <c r="O32" s="6"/>
      <c r="P32" s="6"/>
      <c r="Q32" s="6"/>
      <c r="R32" s="6">
        <f t="shared" si="0"/>
        <v>8.9</v>
      </c>
      <c r="S32" s="25">
        <f t="shared" si="1"/>
        <v>1.7</v>
      </c>
      <c r="T32" s="25">
        <f t="shared" si="2"/>
        <v>1.7</v>
      </c>
      <c r="U32" s="6"/>
      <c r="V32" s="6"/>
      <c r="W32" s="6"/>
      <c r="X32" s="6"/>
      <c r="Y32" s="6"/>
      <c r="Z32" s="6"/>
      <c r="AA32" s="6"/>
      <c r="AB32" s="6"/>
    </row>
    <row r="33" spans="1:28" ht="15.75" customHeight="1" x14ac:dyDescent="0.3">
      <c r="A33" s="21">
        <v>25</v>
      </c>
      <c r="B33" s="22" t="s">
        <v>30</v>
      </c>
      <c r="C33" s="22">
        <v>10422092</v>
      </c>
      <c r="D33" s="22" t="s">
        <v>84</v>
      </c>
      <c r="E33" s="22" t="s">
        <v>82</v>
      </c>
      <c r="F33" s="21">
        <v>1</v>
      </c>
      <c r="G33" s="22" t="s">
        <v>85</v>
      </c>
      <c r="H33" s="22">
        <v>1.3</v>
      </c>
      <c r="I33" s="22"/>
      <c r="J33" s="23">
        <f>VLOOKUP(C33,Lab!$C$9:$I$126, 6, FALSE)</f>
        <v>10</v>
      </c>
      <c r="K33" s="23">
        <f>VLOOKUP(C33,Lab!$C$9:$I$126, 7, FALSE)</f>
        <v>10</v>
      </c>
      <c r="L33" s="6">
        <f>_xlfn.IFNA(VLOOKUP(C33, exam!$A$2:$C$115,3,FALSE),0)</f>
        <v>7.5</v>
      </c>
      <c r="M33" s="20">
        <v>10</v>
      </c>
      <c r="N33" s="20">
        <v>1</v>
      </c>
      <c r="O33" s="6"/>
      <c r="P33" s="6"/>
      <c r="Q33" s="6"/>
      <c r="R33" s="6">
        <f t="shared" si="0"/>
        <v>9.4</v>
      </c>
      <c r="S33" s="25">
        <f t="shared" si="1"/>
        <v>1.4</v>
      </c>
      <c r="T33" s="25">
        <f t="shared" si="2"/>
        <v>1.3</v>
      </c>
      <c r="U33" s="6"/>
      <c r="V33" s="6"/>
      <c r="W33" s="6"/>
      <c r="X33" s="6"/>
      <c r="Y33" s="6"/>
      <c r="Z33" s="6"/>
      <c r="AA33" s="6"/>
      <c r="AB33" s="6"/>
    </row>
    <row r="34" spans="1:28" ht="15.75" customHeight="1" x14ac:dyDescent="0.3">
      <c r="A34" s="21">
        <v>26</v>
      </c>
      <c r="B34" s="22" t="s">
        <v>30</v>
      </c>
      <c r="C34" s="22">
        <v>10422020</v>
      </c>
      <c r="D34" s="22" t="s">
        <v>86</v>
      </c>
      <c r="E34" s="22" t="s">
        <v>87</v>
      </c>
      <c r="F34" s="21">
        <v>1</v>
      </c>
      <c r="G34" s="22" t="s">
        <v>88</v>
      </c>
      <c r="H34" s="22">
        <v>3</v>
      </c>
      <c r="I34" s="22"/>
      <c r="J34" s="23">
        <f>VLOOKUP(C34,Lab!$C$9:$I$126, 6, FALSE)</f>
        <v>8</v>
      </c>
      <c r="K34" s="23">
        <f>VLOOKUP(C34,Lab!$C$9:$I$126, 7, FALSE)</f>
        <v>10</v>
      </c>
      <c r="L34" s="6">
        <f>_xlfn.IFNA(VLOOKUP(C34, exam!$A$2:$C$115,3,FALSE),0)</f>
        <v>6.75</v>
      </c>
      <c r="M34" s="20">
        <v>5</v>
      </c>
      <c r="N34" s="6"/>
      <c r="O34" s="6"/>
      <c r="P34" s="6"/>
      <c r="Q34" s="6"/>
      <c r="R34" s="6">
        <f t="shared" si="0"/>
        <v>6.5</v>
      </c>
      <c r="S34" s="25">
        <f t="shared" si="1"/>
        <v>3.1</v>
      </c>
      <c r="T34" s="25">
        <f t="shared" si="2"/>
        <v>3</v>
      </c>
      <c r="U34" s="6"/>
      <c r="V34" s="6"/>
      <c r="W34" s="6"/>
      <c r="X34" s="6"/>
      <c r="Y34" s="6"/>
      <c r="Z34" s="6"/>
      <c r="AA34" s="6"/>
      <c r="AB34" s="6"/>
    </row>
    <row r="35" spans="1:28" ht="15.75" customHeight="1" x14ac:dyDescent="0.3">
      <c r="A35" s="21">
        <v>27</v>
      </c>
      <c r="B35" s="22" t="s">
        <v>30</v>
      </c>
      <c r="C35" s="22">
        <v>10422093</v>
      </c>
      <c r="D35" s="22" t="s">
        <v>89</v>
      </c>
      <c r="E35" s="22" t="s">
        <v>87</v>
      </c>
      <c r="F35" s="21">
        <v>1</v>
      </c>
      <c r="G35" s="22" t="s">
        <v>90</v>
      </c>
      <c r="H35" s="22">
        <v>2</v>
      </c>
      <c r="I35" s="22"/>
      <c r="J35" s="23">
        <f>VLOOKUP(C35,Lab!$C$9:$I$126, 6, FALSE)</f>
        <v>10</v>
      </c>
      <c r="K35" s="23">
        <f>VLOOKUP(C35,Lab!$C$9:$I$126, 7, FALSE)</f>
        <v>10</v>
      </c>
      <c r="L35" s="6">
        <f>_xlfn.IFNA(VLOOKUP(C35, exam!$A$2:$C$115,3,FALSE),0)</f>
        <v>5</v>
      </c>
      <c r="M35" s="20">
        <v>10</v>
      </c>
      <c r="N35" s="20">
        <v>1</v>
      </c>
      <c r="O35" s="6"/>
      <c r="P35" s="6"/>
      <c r="Q35" s="6"/>
      <c r="R35" s="6">
        <f t="shared" si="0"/>
        <v>8.4</v>
      </c>
      <c r="S35" s="25">
        <f t="shared" si="1"/>
        <v>2</v>
      </c>
      <c r="T35" s="25">
        <f t="shared" si="2"/>
        <v>2</v>
      </c>
      <c r="U35" s="6"/>
      <c r="V35" s="6"/>
      <c r="W35" s="6"/>
      <c r="X35" s="6"/>
      <c r="Y35" s="6"/>
      <c r="Z35" s="6"/>
      <c r="AA35" s="6"/>
      <c r="AB35" s="6"/>
    </row>
    <row r="36" spans="1:28" ht="15.75" customHeight="1" x14ac:dyDescent="0.3">
      <c r="A36" s="21">
        <v>28</v>
      </c>
      <c r="B36" s="22" t="s">
        <v>30</v>
      </c>
      <c r="C36" s="22">
        <v>10422021</v>
      </c>
      <c r="D36" s="22" t="s">
        <v>91</v>
      </c>
      <c r="E36" s="22" t="s">
        <v>92</v>
      </c>
      <c r="F36" s="21">
        <v>1</v>
      </c>
      <c r="G36" s="22" t="s">
        <v>93</v>
      </c>
      <c r="H36" s="22">
        <v>1</v>
      </c>
      <c r="I36" s="22"/>
      <c r="J36" s="23">
        <f>VLOOKUP(C36,Lab!$C$9:$I$126, 6, FALSE)</f>
        <v>10</v>
      </c>
      <c r="K36" s="23">
        <f>VLOOKUP(C36,Lab!$C$9:$I$126, 7, FALSE)</f>
        <v>10</v>
      </c>
      <c r="L36" s="6">
        <f>_xlfn.IFNA(VLOOKUP(C36, exam!$A$2:$C$115,3,FALSE),0)</f>
        <v>9.5</v>
      </c>
      <c r="M36" s="20">
        <v>10</v>
      </c>
      <c r="N36" s="20">
        <v>2</v>
      </c>
      <c r="O36" s="6"/>
      <c r="P36" s="6"/>
      <c r="Q36" s="6"/>
      <c r="R36" s="6">
        <f t="shared" si="0"/>
        <v>10</v>
      </c>
      <c r="S36" s="25">
        <f t="shared" si="1"/>
        <v>1</v>
      </c>
      <c r="T36" s="25">
        <f t="shared" si="2"/>
        <v>1</v>
      </c>
      <c r="U36" s="6"/>
      <c r="V36" s="6"/>
      <c r="W36" s="6"/>
      <c r="X36" s="6"/>
      <c r="Y36" s="6"/>
      <c r="Z36" s="6"/>
      <c r="AA36" s="6"/>
      <c r="AB36" s="6"/>
    </row>
    <row r="37" spans="1:28" ht="15.75" customHeight="1" x14ac:dyDescent="0.3">
      <c r="A37" s="21">
        <v>29</v>
      </c>
      <c r="B37" s="22" t="s">
        <v>30</v>
      </c>
      <c r="C37" s="22">
        <v>17417</v>
      </c>
      <c r="D37" s="22" t="s">
        <v>23</v>
      </c>
      <c r="E37" s="22" t="s">
        <v>94</v>
      </c>
      <c r="F37" s="21">
        <v>1</v>
      </c>
      <c r="G37" s="22" t="s">
        <v>95</v>
      </c>
      <c r="H37" s="22">
        <v>5</v>
      </c>
      <c r="I37" s="22"/>
      <c r="J37" s="23">
        <f>VLOOKUP(C37,Lab!$C$9:$I$126, 6, FALSE)</f>
        <v>0</v>
      </c>
      <c r="L37" s="6">
        <f>_xlfn.IFNA(VLOOKUP(C37, exam!$A$2:$C$115,3,FALSE),0)</f>
        <v>3.75</v>
      </c>
      <c r="M37" s="24"/>
      <c r="N37" s="24"/>
      <c r="O37" s="6"/>
      <c r="P37" s="6"/>
      <c r="Q37" s="6"/>
      <c r="R37" s="6">
        <f t="shared" si="0"/>
        <v>1.5</v>
      </c>
      <c r="S37" s="25">
        <f t="shared" si="1"/>
        <v>5</v>
      </c>
      <c r="T37" s="25">
        <f t="shared" si="2"/>
        <v>5</v>
      </c>
      <c r="U37" s="6"/>
      <c r="V37" s="6"/>
      <c r="W37" s="6"/>
      <c r="X37" s="6"/>
      <c r="Y37" s="6"/>
      <c r="Z37" s="6"/>
      <c r="AA37" s="6"/>
      <c r="AB37" s="6"/>
    </row>
    <row r="38" spans="1:28" ht="15.75" customHeight="1" x14ac:dyDescent="0.3">
      <c r="A38" s="21">
        <v>30</v>
      </c>
      <c r="B38" s="22" t="s">
        <v>30</v>
      </c>
      <c r="C38" s="22">
        <v>10422022</v>
      </c>
      <c r="D38" s="22" t="s">
        <v>96</v>
      </c>
      <c r="E38" s="22" t="s">
        <v>94</v>
      </c>
      <c r="F38" s="21">
        <v>1</v>
      </c>
      <c r="G38" s="22" t="s">
        <v>97</v>
      </c>
      <c r="H38" s="22">
        <v>1.3</v>
      </c>
      <c r="I38" s="22"/>
      <c r="J38" s="23">
        <f>VLOOKUP(C38,Lab!$C$9:$I$126, 6, FALSE)</f>
        <v>10</v>
      </c>
      <c r="K38" s="23">
        <f>VLOOKUP(C38,Lab!$C$9:$I$126, 7, FALSE)</f>
        <v>10</v>
      </c>
      <c r="L38" s="6">
        <f>_xlfn.IFNA(VLOOKUP(C38, exam!$A$2:$C$115,3,FALSE),0)</f>
        <v>7.75</v>
      </c>
      <c r="M38" s="20">
        <v>10</v>
      </c>
      <c r="N38" s="20">
        <v>1</v>
      </c>
      <c r="O38" s="6"/>
      <c r="P38" s="6"/>
      <c r="Q38" s="6"/>
      <c r="R38" s="6">
        <f t="shared" si="0"/>
        <v>9.5</v>
      </c>
      <c r="S38" s="25">
        <f t="shared" si="1"/>
        <v>1.3</v>
      </c>
      <c r="T38" s="25">
        <f t="shared" si="2"/>
        <v>1.3</v>
      </c>
      <c r="U38" s="6"/>
      <c r="V38" s="6"/>
      <c r="W38" s="6"/>
      <c r="X38" s="6"/>
      <c r="Y38" s="6"/>
      <c r="Z38" s="6"/>
      <c r="AA38" s="6"/>
      <c r="AB38" s="6"/>
    </row>
    <row r="39" spans="1:28" ht="15.75" customHeight="1" x14ac:dyDescent="0.3">
      <c r="A39" s="21">
        <v>31</v>
      </c>
      <c r="B39" s="22" t="s">
        <v>30</v>
      </c>
      <c r="C39" s="22">
        <v>10422023</v>
      </c>
      <c r="D39" s="22" t="s">
        <v>98</v>
      </c>
      <c r="E39" s="22" t="s">
        <v>94</v>
      </c>
      <c r="F39" s="21">
        <v>1</v>
      </c>
      <c r="G39" s="22" t="s">
        <v>99</v>
      </c>
      <c r="H39" s="22">
        <v>1</v>
      </c>
      <c r="I39" s="22"/>
      <c r="J39" s="23">
        <f>VLOOKUP(C39,Lab!$C$9:$I$126, 6, FALSE)</f>
        <v>10</v>
      </c>
      <c r="K39" s="23">
        <f>VLOOKUP(C39,Lab!$C$9:$I$126, 7, FALSE)</f>
        <v>10</v>
      </c>
      <c r="L39" s="6">
        <f>_xlfn.IFNA(VLOOKUP(C39, exam!$A$2:$C$115,3,FALSE),0)</f>
        <v>8</v>
      </c>
      <c r="M39" s="20">
        <v>10</v>
      </c>
      <c r="N39" s="20">
        <v>1</v>
      </c>
      <c r="O39" s="20" t="s">
        <v>100</v>
      </c>
      <c r="P39" s="6"/>
      <c r="Q39" s="6"/>
      <c r="R39" s="6">
        <f t="shared" si="0"/>
        <v>9.6</v>
      </c>
      <c r="S39" s="25">
        <f t="shared" si="1"/>
        <v>1.2</v>
      </c>
      <c r="T39" s="25">
        <f t="shared" si="2"/>
        <v>1</v>
      </c>
      <c r="U39" s="6"/>
      <c r="V39" s="6"/>
      <c r="W39" s="6"/>
      <c r="X39" s="6"/>
      <c r="Y39" s="6"/>
      <c r="Z39" s="6"/>
      <c r="AA39" s="6"/>
      <c r="AB39" s="6"/>
    </row>
    <row r="40" spans="1:28" ht="15.75" customHeight="1" x14ac:dyDescent="0.3">
      <c r="A40" s="21">
        <v>32</v>
      </c>
      <c r="B40" s="22" t="s">
        <v>30</v>
      </c>
      <c r="C40" s="22">
        <v>10422024</v>
      </c>
      <c r="D40" s="22" t="s">
        <v>101</v>
      </c>
      <c r="E40" s="22" t="s">
        <v>102</v>
      </c>
      <c r="F40" s="21">
        <v>1</v>
      </c>
      <c r="G40" s="22" t="s">
        <v>103</v>
      </c>
      <c r="H40" s="22">
        <v>1</v>
      </c>
      <c r="I40" s="22"/>
      <c r="J40" s="23">
        <f>VLOOKUP(C40,Lab!$C$9:$I$126, 6, FALSE)</f>
        <v>10</v>
      </c>
      <c r="K40" s="23">
        <f>VLOOKUP(C40,Lab!$C$9:$I$126, 7, FALSE)</f>
        <v>10</v>
      </c>
      <c r="L40" s="6">
        <f>_xlfn.IFNA(VLOOKUP(C40, exam!$A$2:$C$115,3,FALSE),0)</f>
        <v>8.5</v>
      </c>
      <c r="M40" s="20">
        <v>10</v>
      </c>
      <c r="N40" s="20">
        <v>1</v>
      </c>
      <c r="O40" s="6"/>
      <c r="P40" s="6"/>
      <c r="Q40" s="6"/>
      <c r="R40" s="6">
        <f t="shared" si="0"/>
        <v>9.8000000000000007</v>
      </c>
      <c r="S40" s="25">
        <f t="shared" si="1"/>
        <v>1.1000000000000001</v>
      </c>
      <c r="T40" s="25">
        <f t="shared" si="2"/>
        <v>1</v>
      </c>
      <c r="U40" s="6"/>
      <c r="V40" s="6"/>
      <c r="W40" s="6"/>
      <c r="X40" s="6"/>
      <c r="Y40" s="6"/>
      <c r="Z40" s="6"/>
      <c r="AA40" s="6"/>
      <c r="AB40" s="6"/>
    </row>
    <row r="41" spans="1:28" ht="15.75" customHeight="1" x14ac:dyDescent="0.3">
      <c r="A41" s="21">
        <v>33</v>
      </c>
      <c r="B41" s="22" t="s">
        <v>30</v>
      </c>
      <c r="C41" s="22">
        <v>10421015</v>
      </c>
      <c r="D41" s="22" t="s">
        <v>104</v>
      </c>
      <c r="E41" s="22" t="s">
        <v>105</v>
      </c>
      <c r="F41" s="21">
        <v>1</v>
      </c>
      <c r="G41" s="22" t="s">
        <v>106</v>
      </c>
      <c r="H41" s="22">
        <v>2</v>
      </c>
      <c r="I41" s="22"/>
      <c r="J41" s="23">
        <f>VLOOKUP(C41,Lab!$C$9:$I$126, 6, FALSE)</f>
        <v>10</v>
      </c>
      <c r="K41" s="23">
        <f>VLOOKUP(C41,Lab!$C$9:$I$126, 7, FALSE)</f>
        <v>10</v>
      </c>
      <c r="L41" s="6">
        <f>_xlfn.IFNA(VLOOKUP(C41, exam!$A$2:$C$115,3,FALSE),0)</f>
        <v>5.75</v>
      </c>
      <c r="M41" s="20">
        <v>10</v>
      </c>
      <c r="N41" s="20">
        <v>0</v>
      </c>
      <c r="O41" s="6"/>
      <c r="P41" s="6"/>
      <c r="Q41" s="6"/>
      <c r="R41" s="6">
        <f t="shared" si="0"/>
        <v>8.3000000000000007</v>
      </c>
      <c r="S41" s="25">
        <f t="shared" si="1"/>
        <v>2</v>
      </c>
      <c r="T41" s="25">
        <f t="shared" si="2"/>
        <v>2</v>
      </c>
      <c r="U41" s="6"/>
      <c r="V41" s="6"/>
      <c r="W41" s="6"/>
      <c r="X41" s="6"/>
      <c r="Y41" s="6"/>
      <c r="Z41" s="6"/>
      <c r="AA41" s="6"/>
      <c r="AB41" s="6"/>
    </row>
    <row r="42" spans="1:28" ht="15.75" customHeight="1" x14ac:dyDescent="0.3">
      <c r="A42" s="21">
        <v>34</v>
      </c>
      <c r="B42" s="22" t="s">
        <v>30</v>
      </c>
      <c r="C42" s="22">
        <v>10422025</v>
      </c>
      <c r="D42" s="22" t="s">
        <v>107</v>
      </c>
      <c r="E42" s="22" t="s">
        <v>108</v>
      </c>
      <c r="F42" s="21">
        <v>1</v>
      </c>
      <c r="G42" s="22" t="s">
        <v>109</v>
      </c>
      <c r="H42" s="22">
        <v>1.3</v>
      </c>
      <c r="I42" s="22"/>
      <c r="J42" s="23">
        <f>VLOOKUP(C42,Lab!$C$9:$I$126, 6, FALSE)</f>
        <v>10</v>
      </c>
      <c r="K42" s="23">
        <f>VLOOKUP(C42,Lab!$C$9:$I$126, 7, FALSE)</f>
        <v>10</v>
      </c>
      <c r="L42" s="6">
        <f>_xlfn.IFNA(VLOOKUP(C42, exam!$A$2:$C$115,3,FALSE),0)</f>
        <v>7.75</v>
      </c>
      <c r="M42" s="20">
        <v>10</v>
      </c>
      <c r="N42" s="20">
        <v>1</v>
      </c>
      <c r="O42" s="20" t="s">
        <v>110</v>
      </c>
      <c r="P42" s="6"/>
      <c r="Q42" s="6"/>
      <c r="R42" s="6">
        <f t="shared" si="0"/>
        <v>9.5</v>
      </c>
      <c r="S42" s="25">
        <f t="shared" si="1"/>
        <v>1.3</v>
      </c>
      <c r="T42" s="25">
        <f t="shared" si="2"/>
        <v>1.3</v>
      </c>
      <c r="U42" s="6"/>
      <c r="V42" s="6"/>
      <c r="W42" s="6"/>
      <c r="X42" s="6"/>
      <c r="Y42" s="6"/>
      <c r="Z42" s="6"/>
      <c r="AA42" s="6"/>
      <c r="AB42" s="6"/>
    </row>
    <row r="43" spans="1:28" ht="15.75" customHeight="1" x14ac:dyDescent="0.3">
      <c r="A43" s="21">
        <v>35</v>
      </c>
      <c r="B43" s="22" t="s">
        <v>30</v>
      </c>
      <c r="C43" s="22">
        <v>10422094</v>
      </c>
      <c r="D43" s="22" t="s">
        <v>111</v>
      </c>
      <c r="E43" s="22" t="s">
        <v>108</v>
      </c>
      <c r="F43" s="21">
        <v>1</v>
      </c>
      <c r="G43" s="22" t="s">
        <v>112</v>
      </c>
      <c r="H43" s="22">
        <v>2</v>
      </c>
      <c r="I43" s="22"/>
      <c r="J43" s="23">
        <f>VLOOKUP(C43,Lab!$C$9:$I$126, 6, FALSE)</f>
        <v>8</v>
      </c>
      <c r="K43" s="23">
        <f>VLOOKUP(C43,Lab!$C$9:$I$126, 7, FALSE)</f>
        <v>10</v>
      </c>
      <c r="L43" s="6">
        <f>_xlfn.IFNA(VLOOKUP(C43, exam!$A$2:$C$115,3,FALSE),0)</f>
        <v>5.5</v>
      </c>
      <c r="M43" s="20">
        <v>10</v>
      </c>
      <c r="N43" s="6"/>
      <c r="O43" s="6"/>
      <c r="P43" s="6"/>
      <c r="Q43" s="6"/>
      <c r="R43" s="6">
        <f t="shared" si="0"/>
        <v>8</v>
      </c>
      <c r="S43" s="25">
        <f t="shared" si="1"/>
        <v>2.2000000000000002</v>
      </c>
      <c r="T43" s="25">
        <f t="shared" si="2"/>
        <v>2</v>
      </c>
      <c r="U43" s="6"/>
      <c r="V43" s="6"/>
      <c r="W43" s="6"/>
      <c r="X43" s="6"/>
      <c r="Y43" s="6"/>
      <c r="Z43" s="6"/>
      <c r="AA43" s="6"/>
      <c r="AB43" s="6"/>
    </row>
    <row r="44" spans="1:28" ht="15.75" customHeight="1" x14ac:dyDescent="0.3">
      <c r="A44" s="21">
        <v>36</v>
      </c>
      <c r="B44" s="22" t="s">
        <v>30</v>
      </c>
      <c r="C44" s="22">
        <v>10422095</v>
      </c>
      <c r="D44" s="22" t="s">
        <v>113</v>
      </c>
      <c r="E44" s="22" t="s">
        <v>114</v>
      </c>
      <c r="F44" s="21">
        <v>1</v>
      </c>
      <c r="G44" s="22" t="s">
        <v>115</v>
      </c>
      <c r="H44" s="22">
        <v>2.2999999999999998</v>
      </c>
      <c r="I44" s="22"/>
      <c r="J44" s="23">
        <f>VLOOKUP(C44,Lab!$C$9:$I$126, 6, FALSE)</f>
        <v>10</v>
      </c>
      <c r="K44" s="23">
        <f>VLOOKUP(C44,Lab!$C$9:$I$126, 7, FALSE)</f>
        <v>10</v>
      </c>
      <c r="L44" s="6">
        <f>_xlfn.IFNA(VLOOKUP(C44, exam!$A$2:$C$115,3,FALSE),0)</f>
        <v>4.75</v>
      </c>
      <c r="M44" s="20">
        <v>10</v>
      </c>
      <c r="N44" s="6"/>
      <c r="O44" s="6"/>
      <c r="P44" s="6"/>
      <c r="Q44" s="6"/>
      <c r="R44" s="6">
        <f t="shared" si="0"/>
        <v>7.9</v>
      </c>
      <c r="S44" s="25">
        <f t="shared" si="1"/>
        <v>2.2999999999999998</v>
      </c>
      <c r="T44" s="25">
        <f t="shared" si="2"/>
        <v>2.2999999999999998</v>
      </c>
      <c r="U44" s="6"/>
      <c r="V44" s="6"/>
      <c r="W44" s="6"/>
      <c r="X44" s="6"/>
      <c r="Y44" s="6"/>
      <c r="Z44" s="6"/>
      <c r="AA44" s="6"/>
      <c r="AB44" s="6"/>
    </row>
    <row r="45" spans="1:28" ht="15.75" customHeight="1" x14ac:dyDescent="0.3">
      <c r="A45" s="21">
        <v>37</v>
      </c>
      <c r="B45" s="22" t="s">
        <v>30</v>
      </c>
      <c r="C45" s="22">
        <v>10422026</v>
      </c>
      <c r="D45" s="22" t="s">
        <v>116</v>
      </c>
      <c r="E45" s="22" t="s">
        <v>117</v>
      </c>
      <c r="F45" s="21">
        <v>1</v>
      </c>
      <c r="G45" s="22" t="s">
        <v>118</v>
      </c>
      <c r="H45" s="22">
        <v>2</v>
      </c>
      <c r="I45" s="22"/>
      <c r="J45" s="23">
        <f>VLOOKUP(C45,Lab!$C$9:$I$126, 6, FALSE)</f>
        <v>10</v>
      </c>
      <c r="K45" s="23">
        <f>VLOOKUP(C45,Lab!$C$9:$I$126, 7, FALSE)</f>
        <v>10</v>
      </c>
      <c r="L45" s="6">
        <f>_xlfn.IFNA(VLOOKUP(C45, exam!$A$2:$C$115,3,FALSE),0)</f>
        <v>4.75</v>
      </c>
      <c r="M45" s="20">
        <v>10</v>
      </c>
      <c r="N45" s="20">
        <v>1</v>
      </c>
      <c r="O45" s="6"/>
      <c r="P45" s="6"/>
      <c r="Q45" s="6"/>
      <c r="R45" s="6">
        <f t="shared" si="0"/>
        <v>8.3000000000000007</v>
      </c>
      <c r="S45" s="25">
        <f t="shared" si="1"/>
        <v>2</v>
      </c>
      <c r="T45" s="25">
        <f t="shared" si="2"/>
        <v>2</v>
      </c>
      <c r="U45" s="6"/>
      <c r="V45" s="6"/>
      <c r="W45" s="6"/>
      <c r="X45" s="6"/>
      <c r="Y45" s="6"/>
      <c r="Z45" s="6"/>
      <c r="AA45" s="6"/>
      <c r="AB45" s="6"/>
    </row>
    <row r="46" spans="1:28" ht="15.75" customHeight="1" x14ac:dyDescent="0.3">
      <c r="A46" s="21">
        <v>38</v>
      </c>
      <c r="B46" s="22" t="s">
        <v>30</v>
      </c>
      <c r="C46" s="22">
        <v>10422027</v>
      </c>
      <c r="D46" s="22" t="s">
        <v>119</v>
      </c>
      <c r="E46" s="22" t="s">
        <v>120</v>
      </c>
      <c r="F46" s="21">
        <v>1</v>
      </c>
      <c r="G46" s="22" t="s">
        <v>121</v>
      </c>
      <c r="H46" s="22">
        <v>1.3</v>
      </c>
      <c r="I46" s="22"/>
      <c r="J46" s="23">
        <f>VLOOKUP(C46,Lab!$C$9:$I$126, 6, FALSE)</f>
        <v>10</v>
      </c>
      <c r="K46" s="23">
        <f>VLOOKUP(C46,Lab!$C$9:$I$126, 7, FALSE)</f>
        <v>10</v>
      </c>
      <c r="L46" s="6">
        <f>_xlfn.IFNA(VLOOKUP(C46, exam!$A$2:$C$115,3,FALSE),0)</f>
        <v>7.5</v>
      </c>
      <c r="M46" s="20">
        <v>10</v>
      </c>
      <c r="N46" s="6"/>
      <c r="O46" s="6"/>
      <c r="P46" s="6"/>
      <c r="Q46" s="6"/>
      <c r="R46" s="6">
        <f t="shared" si="0"/>
        <v>9</v>
      </c>
      <c r="S46" s="25">
        <f t="shared" si="1"/>
        <v>1.6</v>
      </c>
      <c r="T46" s="25">
        <f t="shared" si="2"/>
        <v>1.3</v>
      </c>
      <c r="U46" s="6"/>
      <c r="V46" s="6"/>
      <c r="W46" s="6"/>
      <c r="X46" s="6"/>
      <c r="Y46" s="6"/>
      <c r="Z46" s="6"/>
      <c r="AA46" s="6"/>
      <c r="AB46" s="6"/>
    </row>
    <row r="47" spans="1:28" ht="15.75" customHeight="1" x14ac:dyDescent="0.3">
      <c r="A47" s="21">
        <v>39</v>
      </c>
      <c r="B47" s="22" t="s">
        <v>30</v>
      </c>
      <c r="C47" s="22">
        <v>10422028</v>
      </c>
      <c r="D47" s="22" t="s">
        <v>122</v>
      </c>
      <c r="E47" s="22" t="s">
        <v>123</v>
      </c>
      <c r="F47" s="21">
        <v>1</v>
      </c>
      <c r="G47" s="22" t="s">
        <v>124</v>
      </c>
      <c r="H47" s="22">
        <v>5</v>
      </c>
      <c r="I47" s="22" t="s">
        <v>125</v>
      </c>
      <c r="J47" s="23">
        <f>VLOOKUP(C47,Lab!$C$9:$I$126, 6, FALSE)</f>
        <v>0</v>
      </c>
      <c r="L47" s="6">
        <f>_xlfn.IFNA(VLOOKUP(C47, exam!$A$2:$C$115,3,FALSE),0)</f>
        <v>0</v>
      </c>
      <c r="M47" s="6"/>
      <c r="N47" s="6"/>
      <c r="O47" s="6"/>
      <c r="P47" s="6"/>
      <c r="Q47" s="6"/>
      <c r="R47" s="6">
        <f t="shared" si="0"/>
        <v>0</v>
      </c>
      <c r="S47" s="25">
        <f t="shared" si="1"/>
        <v>5</v>
      </c>
      <c r="T47" s="25">
        <f t="shared" si="2"/>
        <v>5</v>
      </c>
      <c r="U47" s="6"/>
      <c r="V47" s="6"/>
      <c r="W47" s="6"/>
      <c r="X47" s="6"/>
      <c r="Y47" s="6"/>
      <c r="Z47" s="6"/>
      <c r="AA47" s="6"/>
      <c r="AB47" s="6"/>
    </row>
    <row r="48" spans="1:28" ht="15.75" customHeight="1" x14ac:dyDescent="0.3">
      <c r="A48" s="21">
        <v>40</v>
      </c>
      <c r="B48" s="22" t="s">
        <v>30</v>
      </c>
      <c r="C48" s="22">
        <v>10422029</v>
      </c>
      <c r="D48" s="22" t="s">
        <v>126</v>
      </c>
      <c r="E48" s="22" t="s">
        <v>123</v>
      </c>
      <c r="F48" s="21">
        <v>1</v>
      </c>
      <c r="G48" s="22" t="s">
        <v>127</v>
      </c>
      <c r="H48" s="22">
        <v>2.2999999999999998</v>
      </c>
      <c r="I48" s="22"/>
      <c r="J48" s="23">
        <f>VLOOKUP(C48,Lab!$C$9:$I$126, 6, FALSE)</f>
        <v>0</v>
      </c>
      <c r="K48" s="23">
        <f>VLOOKUP(C48,Lab!$C$9:$I$126, 7, FALSE)</f>
        <v>10</v>
      </c>
      <c r="L48" s="6">
        <f>_xlfn.IFNA(VLOOKUP(C48, exam!$A$2:$C$115,3,FALSE),0)</f>
        <v>5.75</v>
      </c>
      <c r="M48" s="20">
        <v>10</v>
      </c>
      <c r="N48" s="20">
        <v>0</v>
      </c>
      <c r="O48" s="20" t="s">
        <v>128</v>
      </c>
      <c r="P48" s="6"/>
      <c r="Q48" s="6"/>
      <c r="R48" s="6">
        <f t="shared" si="0"/>
        <v>7.3000000000000007</v>
      </c>
      <c r="S48" s="25">
        <f t="shared" si="1"/>
        <v>2.6</v>
      </c>
      <c r="T48" s="25">
        <f t="shared" si="2"/>
        <v>2.2999999999999998</v>
      </c>
      <c r="U48" s="6"/>
      <c r="V48" s="6"/>
      <c r="W48" s="6"/>
      <c r="X48" s="6"/>
      <c r="Y48" s="6"/>
      <c r="Z48" s="6"/>
      <c r="AA48" s="6"/>
      <c r="AB48" s="6"/>
    </row>
    <row r="49" spans="1:28" ht="15.75" customHeight="1" x14ac:dyDescent="0.3">
      <c r="A49" s="31">
        <v>41</v>
      </c>
      <c r="B49" s="32" t="s">
        <v>30</v>
      </c>
      <c r="C49" s="32">
        <v>10422031</v>
      </c>
      <c r="D49" s="32" t="s">
        <v>129</v>
      </c>
      <c r="E49" s="32" t="s">
        <v>130</v>
      </c>
      <c r="F49" s="31">
        <v>1</v>
      </c>
      <c r="G49" s="32" t="s">
        <v>131</v>
      </c>
      <c r="H49" s="32">
        <v>1.7</v>
      </c>
      <c r="I49" s="32"/>
      <c r="J49" s="35">
        <f>VLOOKUP(C49,Lab!$C$9:$I$126, 6, FALSE)</f>
        <v>10</v>
      </c>
      <c r="K49" s="35">
        <f>VLOOKUP(C49,Lab!$C$9:$I$126, 7, FALSE)</f>
        <v>10</v>
      </c>
      <c r="L49" s="6">
        <f>_xlfn.IFNA(VLOOKUP(C49, exam!$A$2:$C$115,3,FALSE),0)</f>
        <v>5.75</v>
      </c>
      <c r="M49" s="37">
        <v>10</v>
      </c>
      <c r="N49" s="37">
        <v>1</v>
      </c>
      <c r="O49" s="37"/>
      <c r="P49" s="36"/>
      <c r="Q49" s="36"/>
      <c r="R49" s="36">
        <f t="shared" si="0"/>
        <v>8.6999999999999993</v>
      </c>
      <c r="S49" s="38">
        <f t="shared" si="1"/>
        <v>1.8</v>
      </c>
      <c r="T49" s="38">
        <f t="shared" si="2"/>
        <v>1.7</v>
      </c>
      <c r="U49" s="36"/>
      <c r="V49" s="36"/>
      <c r="W49" s="36"/>
      <c r="X49" s="36"/>
      <c r="Y49" s="36"/>
      <c r="Z49" s="36"/>
      <c r="AA49" s="36"/>
      <c r="AB49" s="36"/>
    </row>
    <row r="50" spans="1:28" ht="15.75" customHeight="1" x14ac:dyDescent="0.3">
      <c r="A50" s="21">
        <v>42</v>
      </c>
      <c r="B50" s="22" t="s">
        <v>30</v>
      </c>
      <c r="C50" s="22">
        <v>10422032</v>
      </c>
      <c r="D50" s="22" t="s">
        <v>132</v>
      </c>
      <c r="E50" s="22" t="s">
        <v>130</v>
      </c>
      <c r="F50" s="21">
        <v>1</v>
      </c>
      <c r="G50" s="22" t="s">
        <v>133</v>
      </c>
      <c r="H50" s="22">
        <v>5</v>
      </c>
      <c r="I50" s="22"/>
      <c r="J50" s="23">
        <f>VLOOKUP(C50,Lab!$C$9:$I$126, 6, FALSE)</f>
        <v>0</v>
      </c>
      <c r="K50" s="23">
        <f>VLOOKUP(C50,Lab!$C$9:$I$126, 7, FALSE)</f>
        <v>0</v>
      </c>
      <c r="L50" s="6">
        <f>_xlfn.IFNA(VLOOKUP(C50, exam!$A$2:$C$115,3,FALSE),0)</f>
        <v>5</v>
      </c>
      <c r="M50" s="24"/>
      <c r="N50" s="24"/>
      <c r="O50" s="6"/>
      <c r="P50" s="6"/>
      <c r="Q50" s="6"/>
      <c r="R50" s="6">
        <f t="shared" si="0"/>
        <v>2</v>
      </c>
      <c r="S50" s="25">
        <f t="shared" si="1"/>
        <v>5</v>
      </c>
      <c r="T50" s="25">
        <f t="shared" si="2"/>
        <v>5</v>
      </c>
      <c r="U50" s="6"/>
      <c r="V50" s="6"/>
      <c r="W50" s="6"/>
      <c r="X50" s="6"/>
      <c r="Y50" s="6"/>
      <c r="Z50" s="6"/>
      <c r="AA50" s="6"/>
      <c r="AB50" s="6"/>
    </row>
    <row r="51" spans="1:28" ht="15.75" customHeight="1" x14ac:dyDescent="0.3">
      <c r="A51" s="21">
        <v>43</v>
      </c>
      <c r="B51" s="22" t="s">
        <v>30</v>
      </c>
      <c r="C51" s="22">
        <v>10422033</v>
      </c>
      <c r="D51" s="22" t="s">
        <v>134</v>
      </c>
      <c r="E51" s="22" t="s">
        <v>135</v>
      </c>
      <c r="F51" s="21">
        <v>1</v>
      </c>
      <c r="G51" s="22" t="s">
        <v>136</v>
      </c>
      <c r="H51" s="22">
        <v>2.2999999999999998</v>
      </c>
      <c r="I51" s="22"/>
      <c r="J51" s="23">
        <f>VLOOKUP(C51,Lab!$C$9:$I$126, 6, FALSE)</f>
        <v>0</v>
      </c>
      <c r="K51" s="23">
        <f>VLOOKUP(C51,Lab!$C$9:$I$126, 7, FALSE)</f>
        <v>10</v>
      </c>
      <c r="L51" s="6">
        <f>_xlfn.IFNA(VLOOKUP(C51, exam!$A$2:$C$115,3,FALSE),0)</f>
        <v>7</v>
      </c>
      <c r="M51" s="20">
        <v>10</v>
      </c>
      <c r="N51" s="20">
        <v>0</v>
      </c>
      <c r="O51" s="20" t="s">
        <v>137</v>
      </c>
      <c r="P51" s="6"/>
      <c r="Q51" s="6"/>
      <c r="R51" s="6">
        <f t="shared" si="0"/>
        <v>7.8000000000000007</v>
      </c>
      <c r="S51" s="25">
        <f t="shared" si="1"/>
        <v>2.2999999999999998</v>
      </c>
      <c r="T51" s="25">
        <f t="shared" si="2"/>
        <v>2.2999999999999998</v>
      </c>
      <c r="U51" s="6"/>
      <c r="V51" s="6"/>
      <c r="W51" s="6"/>
      <c r="X51" s="6"/>
      <c r="Y51" s="6"/>
      <c r="Z51" s="6"/>
      <c r="AA51" s="6"/>
      <c r="AB51" s="6"/>
    </row>
    <row r="52" spans="1:28" ht="15.75" customHeight="1" x14ac:dyDescent="0.3">
      <c r="A52" s="21">
        <v>44</v>
      </c>
      <c r="B52" s="22" t="s">
        <v>30</v>
      </c>
      <c r="C52" s="22">
        <v>10422097</v>
      </c>
      <c r="D52" s="22" t="s">
        <v>138</v>
      </c>
      <c r="E52" s="22" t="s">
        <v>135</v>
      </c>
      <c r="F52" s="21">
        <v>1</v>
      </c>
      <c r="G52" s="22" t="s">
        <v>139</v>
      </c>
      <c r="H52" s="22">
        <v>2.7</v>
      </c>
      <c r="I52" s="22"/>
      <c r="J52" s="23">
        <f>VLOOKUP(C52,Lab!$C$9:$I$126, 6, FALSE)</f>
        <v>0</v>
      </c>
      <c r="K52" s="23">
        <f>VLOOKUP(C52,Lab!$C$9:$I$126, 7, FALSE)</f>
        <v>0</v>
      </c>
      <c r="L52" s="6">
        <f>_xlfn.IFNA(VLOOKUP(C52, exam!$A$2:$C$115,3,FALSE),0)</f>
        <v>7</v>
      </c>
      <c r="M52" s="20">
        <v>10</v>
      </c>
      <c r="N52" s="20">
        <v>0</v>
      </c>
      <c r="O52" s="20" t="s">
        <v>140</v>
      </c>
      <c r="P52" s="6"/>
      <c r="Q52" s="6"/>
      <c r="R52" s="6">
        <f t="shared" si="0"/>
        <v>6.8000000000000007</v>
      </c>
      <c r="S52" s="25">
        <f t="shared" si="1"/>
        <v>2.9</v>
      </c>
      <c r="T52" s="25">
        <f t="shared" si="2"/>
        <v>2.7</v>
      </c>
      <c r="U52" s="6"/>
      <c r="V52" s="6"/>
      <c r="W52" s="6"/>
      <c r="X52" s="6"/>
      <c r="Y52" s="6"/>
      <c r="Z52" s="6"/>
      <c r="AA52" s="6"/>
      <c r="AB52" s="6"/>
    </row>
    <row r="53" spans="1:28" ht="15.75" customHeight="1" x14ac:dyDescent="0.3">
      <c r="A53" s="21">
        <v>45</v>
      </c>
      <c r="B53" s="22" t="s">
        <v>30</v>
      </c>
      <c r="C53" s="22">
        <v>10422098</v>
      </c>
      <c r="D53" s="22" t="s">
        <v>141</v>
      </c>
      <c r="E53" s="22" t="s">
        <v>135</v>
      </c>
      <c r="F53" s="21">
        <v>1</v>
      </c>
      <c r="G53" s="22" t="s">
        <v>142</v>
      </c>
      <c r="H53" s="22">
        <v>2</v>
      </c>
      <c r="I53" s="22"/>
      <c r="J53" s="23">
        <f>VLOOKUP(C53,Lab!$C$9:$I$126, 6, FALSE)</f>
        <v>10</v>
      </c>
      <c r="K53" s="23">
        <f>VLOOKUP(C53,Lab!$C$9:$I$126, 7, FALSE)</f>
        <v>10</v>
      </c>
      <c r="L53" s="6">
        <f>_xlfn.IFNA(VLOOKUP(C53, exam!$A$2:$C$115,3,FALSE),0)</f>
        <v>5.5</v>
      </c>
      <c r="M53" s="20">
        <v>10</v>
      </c>
      <c r="N53" s="20">
        <v>0</v>
      </c>
      <c r="O53" s="20" t="s">
        <v>143</v>
      </c>
      <c r="P53" s="6"/>
      <c r="Q53" s="6"/>
      <c r="R53" s="6">
        <f t="shared" si="0"/>
        <v>8.1999999999999993</v>
      </c>
      <c r="S53" s="25">
        <f t="shared" si="1"/>
        <v>2.1</v>
      </c>
      <c r="T53" s="25">
        <f t="shared" si="2"/>
        <v>2</v>
      </c>
      <c r="U53" s="6"/>
      <c r="V53" s="6"/>
      <c r="W53" s="6"/>
      <c r="X53" s="6"/>
      <c r="Y53" s="6"/>
      <c r="Z53" s="6"/>
      <c r="AA53" s="6"/>
      <c r="AB53" s="6"/>
    </row>
    <row r="54" spans="1:28" ht="15.75" customHeight="1" x14ac:dyDescent="0.3">
      <c r="A54" s="21">
        <v>46</v>
      </c>
      <c r="B54" s="22" t="s">
        <v>30</v>
      </c>
      <c r="C54" s="22">
        <v>10422100</v>
      </c>
      <c r="D54" s="22" t="s">
        <v>89</v>
      </c>
      <c r="E54" s="22" t="s">
        <v>135</v>
      </c>
      <c r="F54" s="21">
        <v>1</v>
      </c>
      <c r="G54" s="22" t="s">
        <v>144</v>
      </c>
      <c r="H54" s="22">
        <v>2</v>
      </c>
      <c r="I54" s="22"/>
      <c r="J54" s="23">
        <f>VLOOKUP(C54,Lab!$C$9:$I$126, 6, FALSE)</f>
        <v>10</v>
      </c>
      <c r="K54" s="23">
        <f>VLOOKUP(C54,Lab!$C$9:$I$126, 7, FALSE)</f>
        <v>10</v>
      </c>
      <c r="L54" s="6">
        <f>_xlfn.IFNA(VLOOKUP(C54, exam!$A$2:$C$115,3,FALSE),0)</f>
        <v>5</v>
      </c>
      <c r="M54" s="20">
        <v>10</v>
      </c>
      <c r="N54" s="6"/>
      <c r="O54" s="6"/>
      <c r="P54" s="6"/>
      <c r="Q54" s="6"/>
      <c r="R54" s="6">
        <f t="shared" si="0"/>
        <v>8</v>
      </c>
      <c r="S54" s="25">
        <f t="shared" si="1"/>
        <v>2.2000000000000002</v>
      </c>
      <c r="T54" s="25">
        <f t="shared" si="2"/>
        <v>2</v>
      </c>
      <c r="U54" s="6"/>
      <c r="V54" s="6"/>
      <c r="W54" s="6"/>
      <c r="X54" s="6"/>
      <c r="Y54" s="6"/>
      <c r="Z54" s="6"/>
      <c r="AA54" s="6"/>
      <c r="AB54" s="6"/>
    </row>
    <row r="55" spans="1:28" ht="15.75" customHeight="1" x14ac:dyDescent="0.3">
      <c r="A55" s="21">
        <v>47</v>
      </c>
      <c r="B55" s="22" t="s">
        <v>30</v>
      </c>
      <c r="C55" s="22">
        <v>10422101</v>
      </c>
      <c r="D55" s="22" t="s">
        <v>145</v>
      </c>
      <c r="E55" s="22" t="s">
        <v>146</v>
      </c>
      <c r="F55" s="21">
        <v>1</v>
      </c>
      <c r="G55" s="22" t="s">
        <v>147</v>
      </c>
      <c r="H55" s="22">
        <v>2.2999999999999998</v>
      </c>
      <c r="I55" s="22"/>
      <c r="J55" s="23">
        <f>VLOOKUP(C55,Lab!$C$9:$I$126, 6, FALSE)</f>
        <v>10</v>
      </c>
      <c r="K55" s="23">
        <f>VLOOKUP(C55,Lab!$C$9:$I$126, 7, FALSE)</f>
        <v>10</v>
      </c>
      <c r="L55" s="6">
        <f>_xlfn.IFNA(VLOOKUP(C55, exam!$A$2:$C$115,3,FALSE),0)</f>
        <v>7.25</v>
      </c>
      <c r="M55" s="20">
        <v>7</v>
      </c>
      <c r="N55" s="20">
        <v>0</v>
      </c>
      <c r="O55" s="20" t="s">
        <v>148</v>
      </c>
      <c r="P55" s="6"/>
      <c r="Q55" s="6"/>
      <c r="R55" s="6">
        <f t="shared" si="0"/>
        <v>7.7000000000000011</v>
      </c>
      <c r="S55" s="25">
        <f t="shared" si="1"/>
        <v>2.4</v>
      </c>
      <c r="T55" s="25">
        <f t="shared" si="2"/>
        <v>2.2999999999999998</v>
      </c>
      <c r="U55" s="6"/>
      <c r="V55" s="6"/>
      <c r="W55" s="6"/>
      <c r="X55" s="6"/>
      <c r="Y55" s="6"/>
      <c r="Z55" s="6"/>
      <c r="AA55" s="6"/>
      <c r="AB55" s="6"/>
    </row>
    <row r="56" spans="1:28" ht="15.75" customHeight="1" x14ac:dyDescent="0.3">
      <c r="A56" s="21">
        <v>48</v>
      </c>
      <c r="B56" s="22" t="s">
        <v>30</v>
      </c>
      <c r="C56" s="22">
        <v>10422103</v>
      </c>
      <c r="D56" s="22" t="s">
        <v>149</v>
      </c>
      <c r="E56" s="22" t="s">
        <v>150</v>
      </c>
      <c r="F56" s="21">
        <v>1</v>
      </c>
      <c r="G56" s="22" t="s">
        <v>151</v>
      </c>
      <c r="H56" s="22">
        <v>3.3</v>
      </c>
      <c r="I56" s="22"/>
      <c r="J56" s="23">
        <f>VLOOKUP(C56,Lab!$C$9:$I$126, 6, FALSE)</f>
        <v>10</v>
      </c>
      <c r="K56" s="23">
        <f>VLOOKUP(C56,Lab!$C$9:$I$126, 7, FALSE)</f>
        <v>10</v>
      </c>
      <c r="L56" s="6">
        <f>_xlfn.IFNA(VLOOKUP(C56, exam!$A$2:$C$115,3,FALSE),0)</f>
        <v>5.25</v>
      </c>
      <c r="M56" s="20">
        <v>5</v>
      </c>
      <c r="N56" s="6"/>
      <c r="O56" s="20" t="s">
        <v>152</v>
      </c>
      <c r="P56" s="6"/>
      <c r="Q56" s="6"/>
      <c r="R56" s="6">
        <f t="shared" si="0"/>
        <v>6.1</v>
      </c>
      <c r="S56" s="25">
        <f t="shared" si="1"/>
        <v>3.3</v>
      </c>
      <c r="T56" s="25">
        <f t="shared" si="2"/>
        <v>3.3</v>
      </c>
      <c r="U56" s="6"/>
      <c r="V56" s="6"/>
      <c r="W56" s="6"/>
      <c r="X56" s="6"/>
      <c r="Y56" s="6"/>
      <c r="Z56" s="6"/>
      <c r="AA56" s="6"/>
      <c r="AB56" s="6"/>
    </row>
    <row r="57" spans="1:28" ht="15.75" customHeight="1" x14ac:dyDescent="0.3">
      <c r="A57" s="21">
        <v>49</v>
      </c>
      <c r="B57" s="22" t="s">
        <v>30</v>
      </c>
      <c r="C57" s="22">
        <v>10421026</v>
      </c>
      <c r="D57" s="22" t="s">
        <v>153</v>
      </c>
      <c r="E57" s="22" t="s">
        <v>154</v>
      </c>
      <c r="F57" s="21">
        <v>1</v>
      </c>
      <c r="G57" s="22" t="s">
        <v>155</v>
      </c>
      <c r="H57" s="22">
        <v>5</v>
      </c>
      <c r="I57" s="22"/>
      <c r="J57" s="23">
        <f>VLOOKUP(C57,Lab!$C$9:$I$126, 6, FALSE)</f>
        <v>10</v>
      </c>
      <c r="K57" s="23">
        <f>VLOOKUP(C57,Lab!$C$9:$I$126, 7, FALSE)</f>
        <v>10</v>
      </c>
      <c r="L57" s="6">
        <f>_xlfn.IFNA(VLOOKUP(C57, exam!$A$2:$C$115,3,FALSE),0)</f>
        <v>7.25</v>
      </c>
      <c r="M57" s="26"/>
      <c r="N57" s="26"/>
      <c r="O57" s="20" t="s">
        <v>156</v>
      </c>
      <c r="P57" s="6"/>
      <c r="Q57" s="6"/>
      <c r="R57" s="6">
        <f t="shared" si="0"/>
        <v>4.9000000000000004</v>
      </c>
      <c r="S57" s="25">
        <f t="shared" si="1"/>
        <v>5</v>
      </c>
      <c r="T57" s="25">
        <f t="shared" si="2"/>
        <v>5</v>
      </c>
      <c r="U57" s="6"/>
      <c r="V57" s="6"/>
      <c r="W57" s="6"/>
      <c r="X57" s="6"/>
      <c r="Y57" s="6"/>
      <c r="Z57" s="6"/>
      <c r="AA57" s="6"/>
      <c r="AB57" s="6"/>
    </row>
    <row r="58" spans="1:28" ht="15.75" customHeight="1" x14ac:dyDescent="0.3">
      <c r="A58" s="21">
        <v>50</v>
      </c>
      <c r="B58" s="22" t="s">
        <v>30</v>
      </c>
      <c r="C58" s="22">
        <v>10422035</v>
      </c>
      <c r="D58" s="22" t="s">
        <v>157</v>
      </c>
      <c r="E58" s="22" t="s">
        <v>154</v>
      </c>
      <c r="F58" s="21">
        <v>1</v>
      </c>
      <c r="G58" s="22" t="s">
        <v>158</v>
      </c>
      <c r="H58" s="22">
        <v>2</v>
      </c>
      <c r="I58" s="22"/>
      <c r="J58" s="23">
        <f>VLOOKUP(C58,Lab!$C$9:$I$126, 6, FALSE)</f>
        <v>0</v>
      </c>
      <c r="K58" s="23">
        <f>VLOOKUP(C58,Lab!$C$9:$I$126, 7, FALSE)</f>
        <v>10</v>
      </c>
      <c r="L58" s="6">
        <f>_xlfn.IFNA(VLOOKUP(C58, exam!$A$2:$C$115,3,FALSE),0)</f>
        <v>7.5</v>
      </c>
      <c r="M58" s="20">
        <v>10</v>
      </c>
      <c r="N58" s="6"/>
      <c r="O58" s="6"/>
      <c r="P58" s="6"/>
      <c r="Q58" s="6"/>
      <c r="R58" s="6">
        <f t="shared" si="0"/>
        <v>8</v>
      </c>
      <c r="S58" s="25">
        <f t="shared" si="1"/>
        <v>2.2000000000000002</v>
      </c>
      <c r="T58" s="25">
        <f t="shared" si="2"/>
        <v>2</v>
      </c>
      <c r="U58" s="6"/>
      <c r="V58" s="6"/>
      <c r="W58" s="6"/>
      <c r="X58" s="6"/>
      <c r="Y58" s="6"/>
      <c r="Z58" s="6"/>
      <c r="AA58" s="6"/>
      <c r="AB58" s="6"/>
    </row>
    <row r="59" spans="1:28" ht="15.75" customHeight="1" x14ac:dyDescent="0.3">
      <c r="A59" s="21">
        <v>51</v>
      </c>
      <c r="B59" s="22" t="s">
        <v>30</v>
      </c>
      <c r="C59" s="22">
        <v>10422036</v>
      </c>
      <c r="D59" s="22" t="s">
        <v>159</v>
      </c>
      <c r="E59" s="22" t="s">
        <v>154</v>
      </c>
      <c r="F59" s="21">
        <v>1</v>
      </c>
      <c r="G59" s="22" t="s">
        <v>160</v>
      </c>
      <c r="H59" s="22">
        <v>2</v>
      </c>
      <c r="I59" s="22"/>
      <c r="J59" s="23">
        <f>VLOOKUP(C59,Lab!$C$9:$I$126, 6, FALSE)</f>
        <v>10</v>
      </c>
      <c r="K59" s="23">
        <f>VLOOKUP(C59,Lab!$C$9:$I$126, 7, FALSE)</f>
        <v>10</v>
      </c>
      <c r="L59" s="6">
        <f>_xlfn.IFNA(VLOOKUP(C59, exam!$A$2:$C$115,3,FALSE),0)</f>
        <v>6</v>
      </c>
      <c r="M59" s="39">
        <v>10</v>
      </c>
      <c r="N59" s="39">
        <v>0</v>
      </c>
      <c r="O59" s="20" t="s">
        <v>161</v>
      </c>
      <c r="P59" s="6"/>
      <c r="Q59" s="6"/>
      <c r="R59" s="6">
        <f t="shared" si="0"/>
        <v>8.4</v>
      </c>
      <c r="S59" s="25">
        <f t="shared" si="1"/>
        <v>2</v>
      </c>
      <c r="T59" s="25">
        <f t="shared" si="2"/>
        <v>2</v>
      </c>
      <c r="U59" s="6"/>
      <c r="V59" s="6"/>
      <c r="W59" s="6"/>
      <c r="X59" s="6"/>
      <c r="Y59" s="6"/>
      <c r="Z59" s="6"/>
      <c r="AA59" s="6"/>
      <c r="AB59" s="6"/>
    </row>
    <row r="60" spans="1:28" ht="15.75" customHeight="1" x14ac:dyDescent="0.3">
      <c r="A60" s="21">
        <v>52</v>
      </c>
      <c r="B60" s="22" t="s">
        <v>30</v>
      </c>
      <c r="C60" s="22">
        <v>10422037</v>
      </c>
      <c r="D60" s="22" t="s">
        <v>162</v>
      </c>
      <c r="E60" s="22" t="s">
        <v>154</v>
      </c>
      <c r="F60" s="21">
        <v>1</v>
      </c>
      <c r="G60" s="22" t="s">
        <v>163</v>
      </c>
      <c r="H60" s="22">
        <v>3.7</v>
      </c>
      <c r="I60" s="22"/>
      <c r="J60" s="23">
        <f>VLOOKUP(C60,Lab!$C$9:$I$126, 6, FALSE)</f>
        <v>0</v>
      </c>
      <c r="K60" s="23">
        <f>VLOOKUP(C60,Lab!$C$9:$I$126, 7, FALSE)</f>
        <v>0</v>
      </c>
      <c r="L60" s="6">
        <f>_xlfn.IFNA(VLOOKUP(C60, exam!$A$2:$C$115,3,FALSE),0)</f>
        <v>5.75</v>
      </c>
      <c r="M60" s="20">
        <v>8</v>
      </c>
      <c r="N60" s="6"/>
      <c r="O60" s="20" t="s">
        <v>164</v>
      </c>
      <c r="P60" s="6"/>
      <c r="Q60" s="6"/>
      <c r="R60" s="6">
        <f t="shared" si="0"/>
        <v>5.5</v>
      </c>
      <c r="S60" s="25">
        <f t="shared" si="1"/>
        <v>3.7</v>
      </c>
      <c r="T60" s="25">
        <f t="shared" si="2"/>
        <v>3.7</v>
      </c>
      <c r="U60" s="6"/>
      <c r="V60" s="6"/>
      <c r="W60" s="6"/>
      <c r="X60" s="6"/>
      <c r="Y60" s="6"/>
      <c r="Z60" s="6"/>
      <c r="AA60" s="6"/>
      <c r="AB60" s="6"/>
    </row>
    <row r="61" spans="1:28" ht="15.75" customHeight="1" x14ac:dyDescent="0.3">
      <c r="A61" s="21">
        <v>53</v>
      </c>
      <c r="B61" s="22" t="s">
        <v>30</v>
      </c>
      <c r="C61" s="22">
        <v>10422104</v>
      </c>
      <c r="D61" s="22" t="s">
        <v>165</v>
      </c>
      <c r="E61" s="22" t="s">
        <v>154</v>
      </c>
      <c r="F61" s="21">
        <v>1</v>
      </c>
      <c r="G61" s="22" t="s">
        <v>166</v>
      </c>
      <c r="H61" s="22">
        <v>5</v>
      </c>
      <c r="I61" s="22" t="s">
        <v>125</v>
      </c>
      <c r="J61" s="23">
        <f>VLOOKUP(C61,Lab!$C$9:$I$126, 6, FALSE)</f>
        <v>0</v>
      </c>
      <c r="L61" s="6">
        <f>_xlfn.IFNA(VLOOKUP(C61, exam!$A$2:$C$115,3,FALSE),0)</f>
        <v>0</v>
      </c>
      <c r="M61" s="6"/>
      <c r="N61" s="6"/>
      <c r="O61" s="6"/>
      <c r="P61" s="6"/>
      <c r="Q61" s="6"/>
      <c r="R61" s="6">
        <f t="shared" si="0"/>
        <v>0</v>
      </c>
      <c r="S61" s="25">
        <f t="shared" si="1"/>
        <v>5</v>
      </c>
      <c r="T61" s="25">
        <f t="shared" si="2"/>
        <v>5</v>
      </c>
      <c r="U61" s="6"/>
      <c r="V61" s="6"/>
      <c r="W61" s="6"/>
      <c r="X61" s="6"/>
      <c r="Y61" s="6"/>
      <c r="Z61" s="6"/>
      <c r="AA61" s="6"/>
      <c r="AB61" s="6"/>
    </row>
    <row r="62" spans="1:28" ht="15.75" customHeight="1" x14ac:dyDescent="0.3">
      <c r="A62" s="21">
        <v>54</v>
      </c>
      <c r="B62" s="22" t="s">
        <v>30</v>
      </c>
      <c r="C62" s="22">
        <v>10422039</v>
      </c>
      <c r="D62" s="22" t="s">
        <v>167</v>
      </c>
      <c r="E62" s="22" t="s">
        <v>168</v>
      </c>
      <c r="F62" s="21">
        <v>1</v>
      </c>
      <c r="G62" s="22" t="s">
        <v>169</v>
      </c>
      <c r="H62" s="22">
        <v>1.3</v>
      </c>
      <c r="I62" s="22"/>
      <c r="J62" s="23">
        <f>VLOOKUP(C62,Lab!$C$9:$I$126, 6, FALSE)</f>
        <v>10</v>
      </c>
      <c r="K62" s="23">
        <f>VLOOKUP(C62,Lab!$C$9:$I$126, 7, FALSE)</f>
        <v>10</v>
      </c>
      <c r="L62" s="6">
        <f>_xlfn.IFNA(VLOOKUP(C62, exam!$A$2:$C$115,3,FALSE),0)</f>
        <v>7.25</v>
      </c>
      <c r="M62" s="20">
        <v>10</v>
      </c>
      <c r="N62" s="20">
        <v>1</v>
      </c>
      <c r="O62" s="6"/>
      <c r="P62" s="6"/>
      <c r="Q62" s="6"/>
      <c r="R62" s="6">
        <f t="shared" si="0"/>
        <v>9.3000000000000007</v>
      </c>
      <c r="S62" s="25">
        <f t="shared" si="1"/>
        <v>1.4</v>
      </c>
      <c r="T62" s="25">
        <f t="shared" si="2"/>
        <v>1.3</v>
      </c>
      <c r="U62" s="6"/>
      <c r="V62" s="6"/>
      <c r="W62" s="6"/>
      <c r="X62" s="6"/>
      <c r="Y62" s="6"/>
      <c r="Z62" s="6"/>
      <c r="AA62" s="6"/>
      <c r="AB62" s="6"/>
    </row>
    <row r="63" spans="1:28" ht="15.75" customHeight="1" x14ac:dyDescent="0.3">
      <c r="A63" s="21">
        <v>55</v>
      </c>
      <c r="B63" s="22" t="s">
        <v>30</v>
      </c>
      <c r="C63" s="22">
        <v>10422040</v>
      </c>
      <c r="D63" s="22" t="s">
        <v>170</v>
      </c>
      <c r="E63" s="22" t="s">
        <v>171</v>
      </c>
      <c r="F63" s="21">
        <v>1</v>
      </c>
      <c r="G63" s="22" t="s">
        <v>172</v>
      </c>
      <c r="H63" s="22">
        <v>1.3</v>
      </c>
      <c r="I63" s="22"/>
      <c r="J63" s="23">
        <f>VLOOKUP(C63,Lab!$C$9:$I$126, 6, FALSE)</f>
        <v>10</v>
      </c>
      <c r="K63" s="23">
        <f>VLOOKUP(C63,Lab!$C$9:$I$126, 7, FALSE)</f>
        <v>10</v>
      </c>
      <c r="L63" s="6">
        <f>_xlfn.IFNA(VLOOKUP(C63, exam!$A$2:$C$115,3,FALSE),0)</f>
        <v>7</v>
      </c>
      <c r="M63" s="20">
        <v>10</v>
      </c>
      <c r="N63" s="20">
        <v>1</v>
      </c>
      <c r="O63" s="20" t="s">
        <v>173</v>
      </c>
      <c r="P63" s="6"/>
      <c r="Q63" s="6"/>
      <c r="R63" s="6">
        <f t="shared" si="0"/>
        <v>9.1999999999999993</v>
      </c>
      <c r="S63" s="25">
        <f t="shared" si="1"/>
        <v>1.5</v>
      </c>
      <c r="T63" s="25">
        <f t="shared" si="2"/>
        <v>1.3</v>
      </c>
      <c r="U63" s="6"/>
      <c r="V63" s="6"/>
      <c r="W63" s="6"/>
      <c r="X63" s="6"/>
      <c r="Y63" s="6"/>
      <c r="Z63" s="6"/>
      <c r="AA63" s="6"/>
      <c r="AB63" s="6"/>
    </row>
    <row r="64" spans="1:28" ht="15.75" customHeight="1" x14ac:dyDescent="0.3">
      <c r="A64" s="21">
        <v>56</v>
      </c>
      <c r="B64" s="22" t="s">
        <v>30</v>
      </c>
      <c r="C64" s="22">
        <v>10422041</v>
      </c>
      <c r="D64" s="22" t="s">
        <v>174</v>
      </c>
      <c r="E64" s="22" t="s">
        <v>175</v>
      </c>
      <c r="F64" s="21">
        <v>1</v>
      </c>
      <c r="G64" s="22" t="s">
        <v>176</v>
      </c>
      <c r="H64" s="22">
        <v>2.2999999999999998</v>
      </c>
      <c r="I64" s="22"/>
      <c r="J64" s="23">
        <f>VLOOKUP(C64,Lab!$C$9:$I$126, 6, FALSE)</f>
        <v>0</v>
      </c>
      <c r="K64" s="23">
        <f>VLOOKUP(C64,Lab!$C$9:$I$126, 7, FALSE)</f>
        <v>10</v>
      </c>
      <c r="L64" s="6">
        <f>_xlfn.IFNA(VLOOKUP(C64, exam!$A$2:$C$115,3,FALSE),0)</f>
        <v>6.5</v>
      </c>
      <c r="M64" s="20">
        <v>9</v>
      </c>
      <c r="N64" s="20">
        <v>1</v>
      </c>
      <c r="O64" s="20" t="s">
        <v>177</v>
      </c>
      <c r="P64" s="6"/>
      <c r="Q64" s="6"/>
      <c r="R64" s="6">
        <f t="shared" si="0"/>
        <v>7.6</v>
      </c>
      <c r="S64" s="25">
        <f t="shared" si="1"/>
        <v>2.4</v>
      </c>
      <c r="T64" s="25">
        <f t="shared" si="2"/>
        <v>2.2999999999999998</v>
      </c>
      <c r="U64" s="6"/>
      <c r="V64" s="6"/>
      <c r="W64" s="6"/>
      <c r="X64" s="6"/>
      <c r="Y64" s="6"/>
      <c r="Z64" s="6"/>
      <c r="AA64" s="6"/>
      <c r="AB64" s="6"/>
    </row>
    <row r="65" spans="1:28" ht="15.75" customHeight="1" x14ac:dyDescent="0.3">
      <c r="A65" s="21">
        <v>57</v>
      </c>
      <c r="B65" s="22" t="s">
        <v>30</v>
      </c>
      <c r="C65" s="22">
        <v>10422042</v>
      </c>
      <c r="D65" s="22" t="s">
        <v>178</v>
      </c>
      <c r="E65" s="22" t="s">
        <v>179</v>
      </c>
      <c r="F65" s="21">
        <v>1</v>
      </c>
      <c r="G65" s="22" t="s">
        <v>180</v>
      </c>
      <c r="H65" s="22">
        <v>2.2999999999999998</v>
      </c>
      <c r="I65" s="22"/>
      <c r="J65" s="23">
        <f>VLOOKUP(C65,Lab!$C$9:$I$126, 6, FALSE)</f>
        <v>0</v>
      </c>
      <c r="K65" s="23">
        <f>VLOOKUP(C65,Lab!$C$9:$I$126, 7, FALSE)</f>
        <v>10</v>
      </c>
      <c r="L65" s="6">
        <f>_xlfn.IFNA(VLOOKUP(C65, exam!$A$2:$C$115,3,FALSE),0)</f>
        <v>7</v>
      </c>
      <c r="M65" s="20">
        <v>10</v>
      </c>
      <c r="N65" s="20">
        <v>0</v>
      </c>
      <c r="O65" s="20" t="s">
        <v>181</v>
      </c>
      <c r="P65" s="6"/>
      <c r="Q65" s="6"/>
      <c r="R65" s="6">
        <f t="shared" si="0"/>
        <v>7.8000000000000007</v>
      </c>
      <c r="S65" s="25">
        <f t="shared" si="1"/>
        <v>2.2999999999999998</v>
      </c>
      <c r="T65" s="25">
        <f t="shared" si="2"/>
        <v>2.2999999999999998</v>
      </c>
      <c r="U65" s="6"/>
      <c r="V65" s="6"/>
      <c r="W65" s="6"/>
      <c r="X65" s="6"/>
      <c r="Y65" s="6"/>
      <c r="Z65" s="6"/>
      <c r="AA65" s="6"/>
      <c r="AB65" s="6"/>
    </row>
    <row r="66" spans="1:28" ht="15.75" customHeight="1" x14ac:dyDescent="0.3">
      <c r="A66" s="21">
        <v>58</v>
      </c>
      <c r="B66" s="22" t="s">
        <v>30</v>
      </c>
      <c r="C66" s="22">
        <v>10422105</v>
      </c>
      <c r="D66" s="22" t="s">
        <v>182</v>
      </c>
      <c r="E66" s="22" t="s">
        <v>179</v>
      </c>
      <c r="F66" s="21">
        <v>1</v>
      </c>
      <c r="G66" s="22" t="s">
        <v>183</v>
      </c>
      <c r="H66" s="22">
        <v>2</v>
      </c>
      <c r="I66" s="22"/>
      <c r="J66" s="23">
        <f>VLOOKUP(C66,Lab!$C$9:$I$126, 6, FALSE)</f>
        <v>6</v>
      </c>
      <c r="K66" s="23">
        <f>VLOOKUP(C66,Lab!$C$9:$I$126, 7, FALSE)</f>
        <v>10</v>
      </c>
      <c r="L66" s="6">
        <f>_xlfn.IFNA(VLOOKUP(C66, exam!$A$2:$C$115,3,FALSE),0)</f>
        <v>7</v>
      </c>
      <c r="M66" s="20">
        <v>9</v>
      </c>
      <c r="N66" s="6"/>
      <c r="O66" s="20" t="s">
        <v>184</v>
      </c>
      <c r="P66" s="6"/>
      <c r="Q66" s="6"/>
      <c r="R66" s="6">
        <f t="shared" si="0"/>
        <v>8</v>
      </c>
      <c r="S66" s="25">
        <f t="shared" si="1"/>
        <v>2.2000000000000002</v>
      </c>
      <c r="T66" s="25">
        <f t="shared" si="2"/>
        <v>2</v>
      </c>
      <c r="U66" s="6"/>
      <c r="V66" s="6"/>
      <c r="W66" s="6"/>
      <c r="X66" s="6"/>
      <c r="Y66" s="6"/>
      <c r="Z66" s="6"/>
      <c r="AA66" s="6"/>
      <c r="AB66" s="6"/>
    </row>
    <row r="67" spans="1:28" ht="15.75" customHeight="1" x14ac:dyDescent="0.3">
      <c r="A67" s="21">
        <v>59</v>
      </c>
      <c r="B67" s="22" t="s">
        <v>30</v>
      </c>
      <c r="C67" s="22">
        <v>10422043</v>
      </c>
      <c r="D67" s="22" t="s">
        <v>185</v>
      </c>
      <c r="E67" s="22" t="s">
        <v>186</v>
      </c>
      <c r="F67" s="21">
        <v>1</v>
      </c>
      <c r="G67" s="22" t="s">
        <v>187</v>
      </c>
      <c r="H67" s="22">
        <v>2.2999999999999998</v>
      </c>
      <c r="I67" s="22"/>
      <c r="J67" s="23">
        <f>VLOOKUP(C67,Lab!$C$9:$I$126, 6, FALSE)</f>
        <v>10</v>
      </c>
      <c r="K67" s="23">
        <f>VLOOKUP(C67,Lab!$C$9:$I$126, 7, FALSE)</f>
        <v>10</v>
      </c>
      <c r="L67" s="6">
        <f>_xlfn.IFNA(VLOOKUP(C67, exam!$A$2:$C$115,3,FALSE),0)</f>
        <v>6</v>
      </c>
      <c r="M67" s="20">
        <v>8</v>
      </c>
      <c r="N67" s="6"/>
      <c r="O67" s="6"/>
      <c r="P67" s="6"/>
      <c r="Q67" s="6"/>
      <c r="R67" s="6">
        <f t="shared" si="0"/>
        <v>7.6000000000000005</v>
      </c>
      <c r="S67" s="25">
        <f t="shared" si="1"/>
        <v>2.4</v>
      </c>
      <c r="T67" s="25">
        <f t="shared" si="2"/>
        <v>2.2999999999999998</v>
      </c>
      <c r="U67" s="6"/>
      <c r="V67" s="6"/>
      <c r="W67" s="6"/>
      <c r="X67" s="6"/>
      <c r="Y67" s="6"/>
      <c r="Z67" s="6"/>
      <c r="AA67" s="6"/>
      <c r="AB67" s="6"/>
    </row>
    <row r="68" spans="1:28" ht="15.75" customHeight="1" x14ac:dyDescent="0.3">
      <c r="A68" s="21">
        <v>60</v>
      </c>
      <c r="B68" s="22" t="s">
        <v>30</v>
      </c>
      <c r="C68" s="22">
        <v>10422106</v>
      </c>
      <c r="D68" s="22" t="s">
        <v>188</v>
      </c>
      <c r="E68" s="22" t="s">
        <v>189</v>
      </c>
      <c r="F68" s="21">
        <v>1</v>
      </c>
      <c r="G68" s="22" t="s">
        <v>190</v>
      </c>
      <c r="H68" s="22">
        <v>2</v>
      </c>
      <c r="I68" s="22"/>
      <c r="J68" s="23">
        <f>VLOOKUP(C68,Lab!$C$9:$I$126, 6, FALSE)</f>
        <v>10</v>
      </c>
      <c r="K68" s="23">
        <f>VLOOKUP(C68,Lab!$C$9:$I$126, 7, FALSE)</f>
        <v>10</v>
      </c>
      <c r="L68" s="6">
        <f>_xlfn.IFNA(VLOOKUP(C68, exam!$A$2:$C$115,3,FALSE),0)</f>
        <v>5.5</v>
      </c>
      <c r="M68" s="39">
        <v>10</v>
      </c>
      <c r="N68" s="6"/>
      <c r="O68" s="20"/>
      <c r="P68" s="6"/>
      <c r="Q68" s="6"/>
      <c r="R68" s="6">
        <f t="shared" si="0"/>
        <v>8.1999999999999993</v>
      </c>
      <c r="S68" s="25">
        <f t="shared" si="1"/>
        <v>2.1</v>
      </c>
      <c r="T68" s="25">
        <f t="shared" si="2"/>
        <v>2</v>
      </c>
      <c r="U68" s="6"/>
      <c r="V68" s="6"/>
      <c r="W68" s="6"/>
      <c r="X68" s="6"/>
      <c r="Y68" s="6"/>
      <c r="Z68" s="6"/>
      <c r="AA68" s="6"/>
      <c r="AB68" s="6"/>
    </row>
    <row r="69" spans="1:28" ht="15.75" customHeight="1" x14ac:dyDescent="0.3">
      <c r="A69" s="21">
        <v>61</v>
      </c>
      <c r="B69" s="22" t="s">
        <v>30</v>
      </c>
      <c r="C69" s="22">
        <v>10422044</v>
      </c>
      <c r="D69" s="22" t="s">
        <v>191</v>
      </c>
      <c r="E69" s="22" t="s">
        <v>192</v>
      </c>
      <c r="F69" s="21">
        <v>1</v>
      </c>
      <c r="G69" s="22" t="s">
        <v>193</v>
      </c>
      <c r="H69" s="22">
        <v>1.7</v>
      </c>
      <c r="I69" s="22"/>
      <c r="J69" s="23">
        <f>VLOOKUP(C69,Lab!$C$9:$I$126, 6, FALSE)</f>
        <v>10</v>
      </c>
      <c r="K69" s="23">
        <f>VLOOKUP(C69,Lab!$C$9:$I$126, 7, FALSE)</f>
        <v>10</v>
      </c>
      <c r="L69" s="6">
        <f>_xlfn.IFNA(VLOOKUP(C69, exam!$A$2:$C$115,3,FALSE),0)</f>
        <v>7</v>
      </c>
      <c r="M69" s="20">
        <v>10</v>
      </c>
      <c r="N69" s="6"/>
      <c r="O69" s="6"/>
      <c r="P69" s="6"/>
      <c r="Q69" s="6"/>
      <c r="R69" s="6">
        <f t="shared" si="0"/>
        <v>8.8000000000000007</v>
      </c>
      <c r="S69" s="25">
        <f t="shared" si="1"/>
        <v>1.7</v>
      </c>
      <c r="T69" s="25">
        <f t="shared" si="2"/>
        <v>1.7</v>
      </c>
      <c r="U69" s="6"/>
      <c r="V69" s="6"/>
      <c r="W69" s="6"/>
      <c r="X69" s="6"/>
      <c r="Y69" s="6"/>
      <c r="Z69" s="6"/>
      <c r="AA69" s="6"/>
      <c r="AB69" s="6"/>
    </row>
    <row r="70" spans="1:28" ht="15.75" customHeight="1" x14ac:dyDescent="0.3">
      <c r="A70" s="21">
        <v>62</v>
      </c>
      <c r="B70" s="22" t="s">
        <v>30</v>
      </c>
      <c r="C70" s="22">
        <v>10422045</v>
      </c>
      <c r="D70" s="22" t="s">
        <v>194</v>
      </c>
      <c r="E70" s="22" t="s">
        <v>192</v>
      </c>
      <c r="F70" s="21">
        <v>1</v>
      </c>
      <c r="G70" s="22" t="s">
        <v>195</v>
      </c>
      <c r="H70" s="22">
        <v>1.7</v>
      </c>
      <c r="I70" s="22"/>
      <c r="J70" s="23">
        <f>VLOOKUP(C70,Lab!$C$9:$I$126, 6, FALSE)</f>
        <v>10</v>
      </c>
      <c r="K70" s="23">
        <f>VLOOKUP(C70,Lab!$C$9:$I$126, 7, FALSE)</f>
        <v>10</v>
      </c>
      <c r="L70" s="6">
        <f>_xlfn.IFNA(VLOOKUP(C70, exam!$A$2:$C$115,3,FALSE),0)</f>
        <v>7.25</v>
      </c>
      <c r="M70" s="20">
        <v>10</v>
      </c>
      <c r="N70" s="6"/>
      <c r="O70" s="6"/>
      <c r="P70" s="6"/>
      <c r="Q70" s="6"/>
      <c r="R70" s="6">
        <f t="shared" si="0"/>
        <v>8.9</v>
      </c>
      <c r="S70" s="25">
        <f t="shared" si="1"/>
        <v>1.7</v>
      </c>
      <c r="T70" s="25">
        <f t="shared" si="2"/>
        <v>1.7</v>
      </c>
      <c r="U70" s="6"/>
      <c r="V70" s="6"/>
      <c r="W70" s="6"/>
      <c r="X70" s="6"/>
      <c r="Y70" s="6"/>
      <c r="Z70" s="6"/>
      <c r="AA70" s="6"/>
      <c r="AB70" s="6"/>
    </row>
    <row r="71" spans="1:28" ht="15.75" customHeight="1" x14ac:dyDescent="0.3">
      <c r="A71" s="21">
        <v>63</v>
      </c>
      <c r="B71" s="22" t="s">
        <v>30</v>
      </c>
      <c r="C71" s="22">
        <v>10422046</v>
      </c>
      <c r="D71" s="22" t="s">
        <v>196</v>
      </c>
      <c r="E71" s="22" t="s">
        <v>192</v>
      </c>
      <c r="F71" s="21">
        <v>1</v>
      </c>
      <c r="G71" s="22" t="s">
        <v>197</v>
      </c>
      <c r="H71" s="22">
        <v>2</v>
      </c>
      <c r="I71" s="22"/>
      <c r="J71" s="23">
        <f>VLOOKUP(C71,Lab!$C$9:$I$126, 6, FALSE)</f>
        <v>10</v>
      </c>
      <c r="K71" s="23">
        <f>VLOOKUP(C71,Lab!$C$9:$I$126, 7, FALSE)</f>
        <v>10</v>
      </c>
      <c r="L71" s="6">
        <f>_xlfn.IFNA(VLOOKUP(C71, exam!$A$2:$C$115,3,FALSE),0)</f>
        <v>5.75</v>
      </c>
      <c r="M71" s="20">
        <v>10</v>
      </c>
      <c r="N71" s="6"/>
      <c r="O71" s="20" t="s">
        <v>198</v>
      </c>
      <c r="P71" s="6"/>
      <c r="Q71" s="6"/>
      <c r="R71" s="6">
        <f t="shared" si="0"/>
        <v>8.3000000000000007</v>
      </c>
      <c r="S71" s="25">
        <f t="shared" si="1"/>
        <v>2</v>
      </c>
      <c r="T71" s="25">
        <f t="shared" si="2"/>
        <v>2</v>
      </c>
      <c r="U71" s="6"/>
      <c r="V71" s="6"/>
      <c r="W71" s="6"/>
      <c r="X71" s="6"/>
      <c r="Y71" s="6"/>
      <c r="Z71" s="6"/>
      <c r="AA71" s="6"/>
      <c r="AB71" s="6"/>
    </row>
    <row r="72" spans="1:28" ht="15.75" customHeight="1" x14ac:dyDescent="0.3">
      <c r="A72" s="21">
        <v>64</v>
      </c>
      <c r="B72" s="22" t="s">
        <v>30</v>
      </c>
      <c r="C72" s="22">
        <v>10422047</v>
      </c>
      <c r="D72" s="22" t="s">
        <v>31</v>
      </c>
      <c r="E72" s="22" t="s">
        <v>199</v>
      </c>
      <c r="F72" s="21">
        <v>1</v>
      </c>
      <c r="G72" s="22" t="s">
        <v>200</v>
      </c>
      <c r="H72" s="22">
        <v>1.3</v>
      </c>
      <c r="I72" s="22"/>
      <c r="J72" s="23">
        <f>VLOOKUP(C72,Lab!$C$9:$I$126, 6, FALSE)</f>
        <v>10</v>
      </c>
      <c r="K72" s="23">
        <f>VLOOKUP(C72,Lab!$C$9:$I$126, 7, FALSE)</f>
        <v>10</v>
      </c>
      <c r="L72" s="6">
        <f>_xlfn.IFNA(VLOOKUP(C72, exam!$A$2:$C$115,3,FALSE),0)</f>
        <v>6.75</v>
      </c>
      <c r="M72" s="20">
        <v>10</v>
      </c>
      <c r="N72" s="20">
        <v>1</v>
      </c>
      <c r="O72" s="6"/>
      <c r="P72" s="6"/>
      <c r="Q72" s="6"/>
      <c r="R72" s="6">
        <f t="shared" si="0"/>
        <v>9.1</v>
      </c>
      <c r="S72" s="25">
        <f t="shared" si="1"/>
        <v>1.5</v>
      </c>
      <c r="T72" s="25">
        <f t="shared" si="2"/>
        <v>1.3</v>
      </c>
      <c r="U72" s="6"/>
      <c r="V72" s="6"/>
      <c r="W72" s="6"/>
      <c r="X72" s="6"/>
      <c r="Y72" s="6"/>
      <c r="Z72" s="6"/>
      <c r="AA72" s="6"/>
      <c r="AB72" s="6"/>
    </row>
    <row r="73" spans="1:28" ht="15.75" customHeight="1" x14ac:dyDescent="0.3">
      <c r="A73" s="21">
        <v>65</v>
      </c>
      <c r="B73" s="22" t="s">
        <v>30</v>
      </c>
      <c r="C73" s="22">
        <v>10422049</v>
      </c>
      <c r="D73" s="22" t="s">
        <v>201</v>
      </c>
      <c r="E73" s="22" t="s">
        <v>202</v>
      </c>
      <c r="F73" s="21">
        <v>1</v>
      </c>
      <c r="G73" s="22" t="s">
        <v>203</v>
      </c>
      <c r="H73" s="22">
        <v>2.2999999999999998</v>
      </c>
      <c r="I73" s="22"/>
      <c r="J73" s="23">
        <f>VLOOKUP(C73,Lab!$C$9:$I$126, 6, FALSE)</f>
        <v>0</v>
      </c>
      <c r="K73" s="23">
        <f>VLOOKUP(C73,Lab!$C$9:$I$126, 7, FALSE)</f>
        <v>10</v>
      </c>
      <c r="L73" s="6">
        <f>_xlfn.IFNA(VLOOKUP(C73, exam!$A$2:$C$115,3,FALSE),0)</f>
        <v>8.75</v>
      </c>
      <c r="M73" s="20">
        <v>7</v>
      </c>
      <c r="N73" s="6"/>
      <c r="O73" s="20" t="s">
        <v>204</v>
      </c>
      <c r="P73" s="6"/>
      <c r="Q73" s="6"/>
      <c r="R73" s="6">
        <f t="shared" si="0"/>
        <v>7.3000000000000007</v>
      </c>
      <c r="S73" s="25">
        <f t="shared" si="1"/>
        <v>2.6</v>
      </c>
      <c r="T73" s="25">
        <f t="shared" si="2"/>
        <v>2.2999999999999998</v>
      </c>
      <c r="U73" s="6"/>
      <c r="V73" s="6"/>
      <c r="W73" s="6"/>
      <c r="X73" s="6"/>
      <c r="Y73" s="6"/>
      <c r="Z73" s="6"/>
      <c r="AA73" s="6"/>
      <c r="AB73" s="6"/>
    </row>
    <row r="74" spans="1:28" ht="15.75" customHeight="1" x14ac:dyDescent="0.3">
      <c r="A74" s="21">
        <v>66</v>
      </c>
      <c r="B74" s="22" t="s">
        <v>30</v>
      </c>
      <c r="C74" s="22">
        <v>10422050</v>
      </c>
      <c r="D74" s="22" t="s">
        <v>205</v>
      </c>
      <c r="E74" s="22" t="s">
        <v>202</v>
      </c>
      <c r="F74" s="21">
        <v>1</v>
      </c>
      <c r="G74" s="22" t="s">
        <v>206</v>
      </c>
      <c r="H74" s="22">
        <v>1</v>
      </c>
      <c r="I74" s="22"/>
      <c r="J74" s="23">
        <f>VLOOKUP(C74,Lab!$C$9:$I$126, 6, FALSE)</f>
        <v>10</v>
      </c>
      <c r="K74" s="23">
        <f>VLOOKUP(C74,Lab!$C$9:$I$126, 7, FALSE)</f>
        <v>10</v>
      </c>
      <c r="L74" s="6">
        <f>_xlfn.IFNA(VLOOKUP(C74, exam!$A$2:$C$115,3,FALSE),0)</f>
        <v>9</v>
      </c>
      <c r="M74" s="20">
        <v>10</v>
      </c>
      <c r="N74" s="20">
        <v>1</v>
      </c>
      <c r="O74" s="20" t="s">
        <v>161</v>
      </c>
      <c r="P74" s="6"/>
      <c r="Q74" s="6"/>
      <c r="R74" s="6">
        <f t="shared" si="0"/>
        <v>10</v>
      </c>
      <c r="S74" s="25">
        <f t="shared" si="1"/>
        <v>1</v>
      </c>
      <c r="T74" s="25">
        <f t="shared" si="2"/>
        <v>1</v>
      </c>
      <c r="U74" s="6"/>
      <c r="V74" s="6"/>
      <c r="W74" s="6"/>
      <c r="X74" s="6"/>
      <c r="Y74" s="6"/>
      <c r="Z74" s="6"/>
      <c r="AA74" s="6"/>
      <c r="AB74" s="6"/>
    </row>
    <row r="75" spans="1:28" ht="15.75" customHeight="1" x14ac:dyDescent="0.3">
      <c r="A75" s="21">
        <v>67</v>
      </c>
      <c r="B75" s="22" t="s">
        <v>30</v>
      </c>
      <c r="C75" s="22">
        <v>10422051</v>
      </c>
      <c r="D75" s="22" t="s">
        <v>207</v>
      </c>
      <c r="E75" s="22" t="s">
        <v>202</v>
      </c>
      <c r="F75" s="21">
        <v>1</v>
      </c>
      <c r="G75" s="22" t="s">
        <v>208</v>
      </c>
      <c r="H75" s="22">
        <v>1</v>
      </c>
      <c r="I75" s="22"/>
      <c r="J75" s="23">
        <f>VLOOKUP(C75,Lab!$C$9:$I$126, 6, FALSE)</f>
        <v>10</v>
      </c>
      <c r="K75" s="23">
        <f>VLOOKUP(C75,Lab!$C$9:$I$126, 7, FALSE)</f>
        <v>10</v>
      </c>
      <c r="L75" s="6">
        <f>_xlfn.IFNA(VLOOKUP(C75, exam!$A$2:$C$115,3,FALSE),0)</f>
        <v>9</v>
      </c>
      <c r="M75" s="20">
        <v>10</v>
      </c>
      <c r="N75" s="20">
        <v>1</v>
      </c>
      <c r="O75" s="20" t="s">
        <v>209</v>
      </c>
      <c r="P75" s="6"/>
      <c r="Q75" s="6"/>
      <c r="R75" s="6">
        <f t="shared" si="0"/>
        <v>10</v>
      </c>
      <c r="S75" s="25">
        <f t="shared" si="1"/>
        <v>1</v>
      </c>
      <c r="T75" s="25">
        <f t="shared" si="2"/>
        <v>1</v>
      </c>
      <c r="U75" s="6"/>
      <c r="V75" s="6"/>
      <c r="W75" s="6"/>
      <c r="X75" s="6"/>
      <c r="Y75" s="6"/>
      <c r="Z75" s="6"/>
      <c r="AA75" s="6"/>
      <c r="AB75" s="6"/>
    </row>
    <row r="76" spans="1:28" ht="15.75" customHeight="1" x14ac:dyDescent="0.3">
      <c r="A76" s="21">
        <v>68</v>
      </c>
      <c r="B76" s="22" t="s">
        <v>30</v>
      </c>
      <c r="C76" s="22">
        <v>10422052</v>
      </c>
      <c r="D76" s="22" t="s">
        <v>210</v>
      </c>
      <c r="E76" s="22" t="s">
        <v>211</v>
      </c>
      <c r="F76" s="21">
        <v>1</v>
      </c>
      <c r="G76" s="22" t="s">
        <v>212</v>
      </c>
      <c r="H76" s="22">
        <v>1.3</v>
      </c>
      <c r="I76" s="22"/>
      <c r="J76" s="23">
        <f>VLOOKUP(C76,Lab!$C$9:$I$126, 6, FALSE)</f>
        <v>10</v>
      </c>
      <c r="K76" s="23">
        <f>VLOOKUP(C76,Lab!$C$9:$I$126, 7, FALSE)</f>
        <v>10</v>
      </c>
      <c r="L76" s="6">
        <f>_xlfn.IFNA(VLOOKUP(C76, exam!$A$2:$C$115,3,FALSE),0)</f>
        <v>8.5</v>
      </c>
      <c r="M76" s="20">
        <v>10</v>
      </c>
      <c r="N76" s="6"/>
      <c r="O76" s="6"/>
      <c r="P76" s="6"/>
      <c r="Q76" s="6"/>
      <c r="R76" s="6">
        <f t="shared" si="0"/>
        <v>9.4</v>
      </c>
      <c r="S76" s="25">
        <f t="shared" si="1"/>
        <v>1.4</v>
      </c>
      <c r="T76" s="25">
        <f t="shared" si="2"/>
        <v>1.3</v>
      </c>
      <c r="U76" s="6"/>
      <c r="V76" s="6"/>
      <c r="W76" s="6"/>
      <c r="X76" s="6"/>
      <c r="Y76" s="6"/>
      <c r="Z76" s="6"/>
      <c r="AA76" s="6"/>
      <c r="AB76" s="6"/>
    </row>
    <row r="77" spans="1:28" ht="15.75" customHeight="1" x14ac:dyDescent="0.3">
      <c r="A77" s="21">
        <v>69</v>
      </c>
      <c r="B77" s="22" t="s">
        <v>30</v>
      </c>
      <c r="C77" s="22">
        <v>10422053</v>
      </c>
      <c r="D77" s="22" t="s">
        <v>213</v>
      </c>
      <c r="E77" s="22" t="s">
        <v>214</v>
      </c>
      <c r="F77" s="21">
        <v>1</v>
      </c>
      <c r="G77" s="22" t="s">
        <v>215</v>
      </c>
      <c r="H77" s="22">
        <v>5</v>
      </c>
      <c r="I77" s="22"/>
      <c r="J77" s="23">
        <f>VLOOKUP(C77,Lab!$C$9:$I$126, 6, FALSE)</f>
        <v>0</v>
      </c>
      <c r="K77" s="23">
        <f>VLOOKUP(C77,Lab!$C$9:$I$126, 7, FALSE)</f>
        <v>10</v>
      </c>
      <c r="L77" s="6">
        <f>_xlfn.IFNA(VLOOKUP(C77, exam!$A$2:$C$115,3,FALSE),0)</f>
        <v>8</v>
      </c>
      <c r="M77" s="24"/>
      <c r="N77" s="24"/>
      <c r="O77" s="6"/>
      <c r="P77" s="6"/>
      <c r="Q77" s="6"/>
      <c r="R77" s="6">
        <f t="shared" si="0"/>
        <v>4.2</v>
      </c>
      <c r="S77" s="25">
        <f t="shared" si="1"/>
        <v>5</v>
      </c>
      <c r="T77" s="25">
        <f t="shared" si="2"/>
        <v>5</v>
      </c>
      <c r="U77" s="6"/>
      <c r="V77" s="6"/>
      <c r="W77" s="6"/>
      <c r="X77" s="6"/>
      <c r="Y77" s="6"/>
      <c r="Z77" s="6"/>
      <c r="AA77" s="6"/>
      <c r="AB77" s="6"/>
    </row>
    <row r="78" spans="1:28" ht="15.75" customHeight="1" x14ac:dyDescent="0.3">
      <c r="A78" s="21">
        <v>70</v>
      </c>
      <c r="B78" s="22" t="s">
        <v>30</v>
      </c>
      <c r="C78" s="22">
        <v>10422054</v>
      </c>
      <c r="D78" s="22" t="s">
        <v>216</v>
      </c>
      <c r="E78" s="22" t="s">
        <v>217</v>
      </c>
      <c r="F78" s="21">
        <v>1</v>
      </c>
      <c r="G78" s="22" t="s">
        <v>218</v>
      </c>
      <c r="H78" s="22">
        <v>2.2999999999999998</v>
      </c>
      <c r="I78" s="22"/>
      <c r="J78" s="23">
        <f>VLOOKUP(C78,Lab!$C$9:$I$126, 6, FALSE)</f>
        <v>10</v>
      </c>
      <c r="K78" s="23">
        <f>VLOOKUP(C78,Lab!$C$9:$I$126, 7, FALSE)</f>
        <v>10</v>
      </c>
      <c r="L78" s="6">
        <f>_xlfn.IFNA(VLOOKUP(C78, exam!$A$2:$C$115,3,FALSE),0)</f>
        <v>4.75</v>
      </c>
      <c r="M78" s="20">
        <v>10</v>
      </c>
      <c r="N78" s="6"/>
      <c r="O78" s="6"/>
      <c r="P78" s="6"/>
      <c r="Q78" s="6"/>
      <c r="R78" s="6">
        <f t="shared" si="0"/>
        <v>7.9</v>
      </c>
      <c r="S78" s="25">
        <f t="shared" si="1"/>
        <v>2.2999999999999998</v>
      </c>
      <c r="T78" s="25">
        <f t="shared" si="2"/>
        <v>2.2999999999999998</v>
      </c>
      <c r="U78" s="6"/>
      <c r="V78" s="6"/>
      <c r="W78" s="6"/>
      <c r="X78" s="6"/>
      <c r="Y78" s="6"/>
      <c r="Z78" s="6"/>
      <c r="AA78" s="6"/>
      <c r="AB78" s="6"/>
    </row>
    <row r="79" spans="1:28" ht="15.75" customHeight="1" x14ac:dyDescent="0.3">
      <c r="A79" s="21">
        <v>71</v>
      </c>
      <c r="B79" s="22" t="s">
        <v>30</v>
      </c>
      <c r="C79" s="22">
        <v>10422055</v>
      </c>
      <c r="D79" s="22" t="s">
        <v>219</v>
      </c>
      <c r="E79" s="22" t="s">
        <v>217</v>
      </c>
      <c r="F79" s="21">
        <v>1</v>
      </c>
      <c r="G79" s="22" t="s">
        <v>220</v>
      </c>
      <c r="H79" s="22">
        <v>2.2999999999999998</v>
      </c>
      <c r="I79" s="22"/>
      <c r="J79" s="23">
        <f>VLOOKUP(C79,Lab!$C$9:$I$126, 6, FALSE)</f>
        <v>0</v>
      </c>
      <c r="K79" s="23">
        <f>VLOOKUP(C79,Lab!$C$9:$I$126, 7, FALSE)</f>
        <v>10</v>
      </c>
      <c r="L79" s="6">
        <f>_xlfn.IFNA(VLOOKUP(C79, exam!$A$2:$C$115,3,FALSE),0)</f>
        <v>6.25</v>
      </c>
      <c r="M79" s="20">
        <v>10</v>
      </c>
      <c r="N79" s="20"/>
      <c r="O79" s="6"/>
      <c r="P79" s="6"/>
      <c r="Q79" s="6"/>
      <c r="R79" s="6">
        <f t="shared" si="0"/>
        <v>7.5</v>
      </c>
      <c r="S79" s="25">
        <f t="shared" si="1"/>
        <v>2.5</v>
      </c>
      <c r="T79" s="25">
        <f t="shared" si="2"/>
        <v>2.2999999999999998</v>
      </c>
      <c r="U79" s="6"/>
      <c r="V79" s="6"/>
      <c r="W79" s="6"/>
      <c r="X79" s="6"/>
      <c r="Y79" s="6"/>
      <c r="Z79" s="6"/>
      <c r="AA79" s="6"/>
      <c r="AB79" s="6"/>
    </row>
    <row r="80" spans="1:28" ht="15.75" customHeight="1" x14ac:dyDescent="0.3">
      <c r="A80" s="21">
        <v>72</v>
      </c>
      <c r="B80" s="22" t="s">
        <v>30</v>
      </c>
      <c r="C80" s="22">
        <v>10422056</v>
      </c>
      <c r="D80" s="22" t="s">
        <v>221</v>
      </c>
      <c r="E80" s="22" t="s">
        <v>217</v>
      </c>
      <c r="F80" s="21">
        <v>1</v>
      </c>
      <c r="G80" s="22" t="s">
        <v>222</v>
      </c>
      <c r="H80" s="22">
        <v>2</v>
      </c>
      <c r="I80" s="22"/>
      <c r="J80" s="23">
        <f>VLOOKUP(C80,Lab!$C$9:$I$126, 6, FALSE)</f>
        <v>10</v>
      </c>
      <c r="K80" s="23">
        <f>VLOOKUP(C80,Lab!$C$9:$I$126, 7, FALSE)</f>
        <v>10</v>
      </c>
      <c r="L80" s="6">
        <f>_xlfn.IFNA(VLOOKUP(C80, exam!$A$2:$C$115,3,FALSE),0)</f>
        <v>5.75</v>
      </c>
      <c r="M80" s="20">
        <v>10</v>
      </c>
      <c r="N80" s="6"/>
      <c r="O80" s="6"/>
      <c r="P80" s="6"/>
      <c r="Q80" s="6"/>
      <c r="R80" s="6">
        <f t="shared" si="0"/>
        <v>8.3000000000000007</v>
      </c>
      <c r="S80" s="25">
        <f t="shared" si="1"/>
        <v>2</v>
      </c>
      <c r="T80" s="25">
        <f t="shared" si="2"/>
        <v>2</v>
      </c>
      <c r="U80" s="6"/>
      <c r="V80" s="6"/>
      <c r="W80" s="6"/>
      <c r="X80" s="6"/>
      <c r="Y80" s="6"/>
      <c r="Z80" s="6"/>
      <c r="AA80" s="6"/>
      <c r="AB80" s="6"/>
    </row>
    <row r="81" spans="1:28" ht="15.75" customHeight="1" x14ac:dyDescent="0.3">
      <c r="A81" s="21">
        <v>73</v>
      </c>
      <c r="B81" s="22" t="s">
        <v>30</v>
      </c>
      <c r="C81" s="22">
        <v>10422057</v>
      </c>
      <c r="D81" s="22" t="s">
        <v>223</v>
      </c>
      <c r="E81" s="22" t="s">
        <v>98</v>
      </c>
      <c r="F81" s="21">
        <v>1</v>
      </c>
      <c r="G81" s="22" t="s">
        <v>224</v>
      </c>
      <c r="H81" s="22">
        <v>2</v>
      </c>
      <c r="I81" s="22"/>
      <c r="J81" s="23">
        <f>VLOOKUP(C81,Lab!$C$9:$I$126, 6, FALSE)</f>
        <v>10</v>
      </c>
      <c r="K81" s="23">
        <f>VLOOKUP(C81,Lab!$C$9:$I$126, 7, FALSE)</f>
        <v>10</v>
      </c>
      <c r="L81" s="6">
        <f>_xlfn.IFNA(VLOOKUP(C81, exam!$A$2:$C$115,3,FALSE),0)</f>
        <v>4.5</v>
      </c>
      <c r="M81" s="20">
        <v>10</v>
      </c>
      <c r="N81" s="20">
        <v>1</v>
      </c>
      <c r="O81" s="6"/>
      <c r="P81" s="6"/>
      <c r="Q81" s="6"/>
      <c r="R81" s="6">
        <f t="shared" si="0"/>
        <v>8.1999999999999993</v>
      </c>
      <c r="S81" s="25">
        <f t="shared" si="1"/>
        <v>2.1</v>
      </c>
      <c r="T81" s="25">
        <f t="shared" si="2"/>
        <v>2</v>
      </c>
      <c r="U81" s="6"/>
      <c r="V81" s="6"/>
      <c r="W81" s="6"/>
      <c r="X81" s="6"/>
      <c r="Y81" s="6"/>
      <c r="Z81" s="6"/>
      <c r="AA81" s="6"/>
      <c r="AB81" s="6"/>
    </row>
    <row r="82" spans="1:28" ht="15.75" customHeight="1" x14ac:dyDescent="0.3">
      <c r="A82" s="21">
        <v>74</v>
      </c>
      <c r="B82" s="22" t="s">
        <v>30</v>
      </c>
      <c r="C82" s="22">
        <v>10422058</v>
      </c>
      <c r="D82" s="22" t="s">
        <v>225</v>
      </c>
      <c r="E82" s="22" t="s">
        <v>98</v>
      </c>
      <c r="F82" s="21">
        <v>1</v>
      </c>
      <c r="G82" s="22" t="s">
        <v>226</v>
      </c>
      <c r="H82" s="22">
        <v>1</v>
      </c>
      <c r="I82" s="22"/>
      <c r="J82" s="23">
        <f>VLOOKUP(C82,Lab!$C$9:$I$126, 6, FALSE)</f>
        <v>10</v>
      </c>
      <c r="K82" s="23">
        <f>VLOOKUP(C82,Lab!$C$9:$I$126, 7, FALSE)</f>
        <v>10</v>
      </c>
      <c r="L82" s="6">
        <f>_xlfn.IFNA(VLOOKUP(C82, exam!$A$2:$C$115,3,FALSE),0)</f>
        <v>9</v>
      </c>
      <c r="M82" s="20">
        <v>10</v>
      </c>
      <c r="N82" s="20">
        <v>1</v>
      </c>
      <c r="O82" s="6"/>
      <c r="P82" s="6"/>
      <c r="Q82" s="6"/>
      <c r="R82" s="6">
        <f t="shared" si="0"/>
        <v>10</v>
      </c>
      <c r="S82" s="25">
        <f t="shared" si="1"/>
        <v>1</v>
      </c>
      <c r="T82" s="25">
        <f t="shared" si="2"/>
        <v>1</v>
      </c>
      <c r="U82" s="6"/>
      <c r="V82" s="6"/>
      <c r="W82" s="6"/>
      <c r="X82" s="6"/>
      <c r="Y82" s="6"/>
      <c r="Z82" s="6"/>
      <c r="AA82" s="6"/>
      <c r="AB82" s="6"/>
    </row>
    <row r="83" spans="1:28" ht="15.75" customHeight="1" x14ac:dyDescent="0.3">
      <c r="A83" s="21">
        <v>75</v>
      </c>
      <c r="B83" s="22" t="s">
        <v>30</v>
      </c>
      <c r="C83" s="22">
        <v>10422059</v>
      </c>
      <c r="D83" s="22" t="s">
        <v>227</v>
      </c>
      <c r="E83" s="22" t="s">
        <v>98</v>
      </c>
      <c r="F83" s="21">
        <v>1</v>
      </c>
      <c r="G83" s="22" t="s">
        <v>228</v>
      </c>
      <c r="H83" s="22">
        <v>1.7</v>
      </c>
      <c r="I83" s="22"/>
      <c r="J83" s="23">
        <f>VLOOKUP(C83,Lab!$C$9:$I$126, 6, FALSE)</f>
        <v>10</v>
      </c>
      <c r="K83" s="23">
        <f>VLOOKUP(C83,Lab!$C$9:$I$126, 7, FALSE)</f>
        <v>10</v>
      </c>
      <c r="L83" s="6">
        <f>_xlfn.IFNA(VLOOKUP(C83, exam!$A$2:$C$115,3,FALSE),0)</f>
        <v>6.75</v>
      </c>
      <c r="M83" s="20">
        <v>10</v>
      </c>
      <c r="N83" s="6"/>
      <c r="O83" s="6"/>
      <c r="P83" s="6"/>
      <c r="Q83" s="6"/>
      <c r="R83" s="6">
        <f t="shared" si="0"/>
        <v>8.6999999999999993</v>
      </c>
      <c r="S83" s="25">
        <f t="shared" si="1"/>
        <v>1.8</v>
      </c>
      <c r="T83" s="25">
        <f t="shared" si="2"/>
        <v>1.7</v>
      </c>
      <c r="U83" s="6"/>
      <c r="V83" s="6"/>
      <c r="W83" s="6"/>
      <c r="X83" s="6"/>
      <c r="Y83" s="6"/>
      <c r="Z83" s="6"/>
      <c r="AA83" s="6"/>
      <c r="AB83" s="6"/>
    </row>
    <row r="84" spans="1:28" ht="15.75" customHeight="1" x14ac:dyDescent="0.3">
      <c r="A84" s="21">
        <v>76</v>
      </c>
      <c r="B84" s="22" t="s">
        <v>30</v>
      </c>
      <c r="C84" s="22">
        <v>10422108</v>
      </c>
      <c r="D84" s="22" t="s">
        <v>229</v>
      </c>
      <c r="E84" s="22" t="s">
        <v>98</v>
      </c>
      <c r="F84" s="21">
        <v>1</v>
      </c>
      <c r="G84" s="22" t="s">
        <v>230</v>
      </c>
      <c r="H84" s="22">
        <v>3.7</v>
      </c>
      <c r="I84" s="22"/>
      <c r="J84" s="23">
        <f>VLOOKUP(C84,Lab!$C$9:$I$126, 6, FALSE)</f>
        <v>10</v>
      </c>
      <c r="K84" s="23">
        <f>VLOOKUP(C84,Lab!$C$9:$I$126, 7, FALSE)</f>
        <v>10</v>
      </c>
      <c r="L84" s="6">
        <f>_xlfn.IFNA(VLOOKUP(C84, exam!$A$2:$C$115,3,FALSE),0)</f>
        <v>7.75</v>
      </c>
      <c r="M84" s="24"/>
      <c r="N84" s="24"/>
      <c r="O84" s="6"/>
      <c r="P84" s="6"/>
      <c r="Q84" s="6"/>
      <c r="R84" s="6">
        <f t="shared" si="0"/>
        <v>5.0999999999999996</v>
      </c>
      <c r="S84" s="25">
        <f t="shared" si="1"/>
        <v>3.9</v>
      </c>
      <c r="T84" s="25">
        <f t="shared" si="2"/>
        <v>3.7</v>
      </c>
      <c r="U84" s="6"/>
      <c r="V84" s="6"/>
      <c r="W84" s="6"/>
      <c r="X84" s="6"/>
      <c r="Y84" s="6"/>
      <c r="Z84" s="6"/>
      <c r="AA84" s="6"/>
      <c r="AB84" s="6"/>
    </row>
    <row r="85" spans="1:28" ht="15.75" customHeight="1" x14ac:dyDescent="0.3">
      <c r="A85" s="21">
        <v>77</v>
      </c>
      <c r="B85" s="22" t="s">
        <v>30</v>
      </c>
      <c r="C85" s="22">
        <v>10422109</v>
      </c>
      <c r="D85" s="22" t="s">
        <v>231</v>
      </c>
      <c r="E85" s="22" t="s">
        <v>232</v>
      </c>
      <c r="F85" s="21">
        <v>1</v>
      </c>
      <c r="G85" s="22" t="s">
        <v>233</v>
      </c>
      <c r="H85" s="22">
        <v>2.2999999999999998</v>
      </c>
      <c r="I85" s="22"/>
      <c r="J85" s="23">
        <f>VLOOKUP(C85,Lab!$C$9:$I$126, 6, FALSE)</f>
        <v>0</v>
      </c>
      <c r="K85" s="23">
        <f>VLOOKUP(C85,Lab!$C$9:$I$126, 7, FALSE)</f>
        <v>10</v>
      </c>
      <c r="L85" s="6">
        <f>_xlfn.IFNA(VLOOKUP(C85, exam!$A$2:$C$115,3,FALSE),0)</f>
        <v>6.25</v>
      </c>
      <c r="M85" s="20">
        <v>10</v>
      </c>
      <c r="N85" s="20">
        <v>0</v>
      </c>
      <c r="O85" s="20" t="s">
        <v>234</v>
      </c>
      <c r="P85" s="6"/>
      <c r="Q85" s="6"/>
      <c r="R85" s="6">
        <f t="shared" si="0"/>
        <v>7.5</v>
      </c>
      <c r="S85" s="25">
        <f t="shared" si="1"/>
        <v>2.5</v>
      </c>
      <c r="T85" s="25">
        <f t="shared" si="2"/>
        <v>2.2999999999999998</v>
      </c>
      <c r="U85" s="6"/>
      <c r="V85" s="6"/>
      <c r="W85" s="6"/>
      <c r="X85" s="6"/>
      <c r="Y85" s="6"/>
      <c r="Z85" s="6"/>
      <c r="AA85" s="6"/>
      <c r="AB85" s="6"/>
    </row>
    <row r="86" spans="1:28" ht="15.75" customHeight="1" x14ac:dyDescent="0.3">
      <c r="A86" s="31">
        <v>78</v>
      </c>
      <c r="B86" s="32" t="s">
        <v>30</v>
      </c>
      <c r="C86" s="32">
        <v>10421098</v>
      </c>
      <c r="D86" s="32" t="s">
        <v>235</v>
      </c>
      <c r="E86" s="32" t="s">
        <v>236</v>
      </c>
      <c r="F86" s="31">
        <v>1</v>
      </c>
      <c r="G86" s="32" t="s">
        <v>237</v>
      </c>
      <c r="H86" s="33">
        <v>1.7</v>
      </c>
      <c r="I86" s="32"/>
      <c r="J86" s="35">
        <f>VLOOKUP(C86,Lab!$C$9:$I$126, 6, FALSE)</f>
        <v>0</v>
      </c>
      <c r="K86" s="35">
        <f>VLOOKUP(C86,Lab!$C$9:$I$126, 7, FALSE)</f>
        <v>10</v>
      </c>
      <c r="L86" s="6">
        <f>_xlfn.IFNA(VLOOKUP(C86, exam!$A$2:$C$115,3,FALSE),0)</f>
        <v>7.75</v>
      </c>
      <c r="M86" s="37">
        <v>10</v>
      </c>
      <c r="N86" s="37">
        <v>1</v>
      </c>
      <c r="O86" s="36"/>
      <c r="P86" s="36"/>
      <c r="Q86" s="36"/>
      <c r="R86" s="36">
        <f t="shared" si="0"/>
        <v>8.5</v>
      </c>
      <c r="S86" s="38">
        <f t="shared" si="1"/>
        <v>1.9</v>
      </c>
      <c r="T86" s="38">
        <f t="shared" si="2"/>
        <v>1.7</v>
      </c>
      <c r="U86" s="36"/>
      <c r="V86" s="36"/>
      <c r="W86" s="36"/>
      <c r="X86" s="36"/>
      <c r="Y86" s="36"/>
      <c r="Z86" s="36"/>
      <c r="AA86" s="36"/>
      <c r="AB86" s="36"/>
    </row>
    <row r="87" spans="1:28" ht="15.75" customHeight="1" x14ac:dyDescent="0.3">
      <c r="A87" s="21">
        <v>79</v>
      </c>
      <c r="B87" s="22" t="s">
        <v>30</v>
      </c>
      <c r="C87" s="22">
        <v>10422110</v>
      </c>
      <c r="D87" s="22" t="s">
        <v>238</v>
      </c>
      <c r="E87" s="22" t="s">
        <v>236</v>
      </c>
      <c r="F87" s="21">
        <v>1</v>
      </c>
      <c r="G87" s="22" t="s">
        <v>239</v>
      </c>
      <c r="H87" s="22">
        <v>1.3</v>
      </c>
      <c r="I87" s="22"/>
      <c r="J87" s="23">
        <f>VLOOKUP(C87,Lab!$C$9:$I$126, 6, FALSE)</f>
        <v>10</v>
      </c>
      <c r="K87" s="23">
        <f>VLOOKUP(C87,Lab!$C$9:$I$126, 7, FALSE)</f>
        <v>10</v>
      </c>
      <c r="L87" s="6">
        <f>_xlfn.IFNA(VLOOKUP(C87, exam!$A$2:$C$115,3,FALSE),0)</f>
        <v>7.5</v>
      </c>
      <c r="M87" s="20">
        <v>10</v>
      </c>
      <c r="N87" s="20">
        <v>1</v>
      </c>
      <c r="O87" s="6"/>
      <c r="P87" s="6"/>
      <c r="Q87" s="6"/>
      <c r="R87" s="6">
        <f t="shared" si="0"/>
        <v>9.4</v>
      </c>
      <c r="S87" s="25">
        <f t="shared" si="1"/>
        <v>1.4</v>
      </c>
      <c r="T87" s="25">
        <f t="shared" si="2"/>
        <v>1.3</v>
      </c>
      <c r="U87" s="6"/>
      <c r="V87" s="6"/>
      <c r="W87" s="6"/>
      <c r="X87" s="6"/>
      <c r="Y87" s="6"/>
      <c r="Z87" s="6"/>
      <c r="AA87" s="6"/>
      <c r="AB87" s="6"/>
    </row>
    <row r="88" spans="1:28" ht="15.75" customHeight="1" x14ac:dyDescent="0.3">
      <c r="A88" s="21">
        <v>80</v>
      </c>
      <c r="B88" s="22" t="s">
        <v>30</v>
      </c>
      <c r="C88" s="22">
        <v>10422060</v>
      </c>
      <c r="D88" s="22" t="s">
        <v>240</v>
      </c>
      <c r="E88" s="22" t="s">
        <v>24</v>
      </c>
      <c r="F88" s="21">
        <v>1</v>
      </c>
      <c r="G88" s="22" t="s">
        <v>241</v>
      </c>
      <c r="H88" s="22">
        <v>1</v>
      </c>
      <c r="I88" s="22"/>
      <c r="J88" s="23">
        <f>VLOOKUP(C88,Lab!$C$9:$I$126, 6, FALSE)</f>
        <v>10</v>
      </c>
      <c r="K88" s="23">
        <f>VLOOKUP(C88,Lab!$C$9:$I$126, 7, FALSE)</f>
        <v>10</v>
      </c>
      <c r="L88" s="6">
        <f>_xlfn.IFNA(VLOOKUP(C88, exam!$A$2:$C$115,3,FALSE),0)</f>
        <v>8.25</v>
      </c>
      <c r="M88" s="20">
        <v>10</v>
      </c>
      <c r="N88" s="20">
        <v>1</v>
      </c>
      <c r="O88" s="6"/>
      <c r="P88" s="6"/>
      <c r="Q88" s="6"/>
      <c r="R88" s="6">
        <f t="shared" si="0"/>
        <v>9.6999999999999993</v>
      </c>
      <c r="S88" s="25">
        <f t="shared" si="1"/>
        <v>1.2</v>
      </c>
      <c r="T88" s="25">
        <f t="shared" si="2"/>
        <v>1</v>
      </c>
      <c r="U88" s="6"/>
      <c r="V88" s="6"/>
      <c r="W88" s="6"/>
      <c r="X88" s="6"/>
      <c r="Y88" s="6"/>
      <c r="Z88" s="6"/>
      <c r="AA88" s="6"/>
      <c r="AB88" s="6"/>
    </row>
    <row r="89" spans="1:28" ht="15.75" customHeight="1" x14ac:dyDescent="0.3">
      <c r="A89" s="21">
        <v>81</v>
      </c>
      <c r="B89" s="22" t="s">
        <v>30</v>
      </c>
      <c r="C89" s="22">
        <v>10422061</v>
      </c>
      <c r="D89" s="22" t="s">
        <v>242</v>
      </c>
      <c r="E89" s="22" t="s">
        <v>243</v>
      </c>
      <c r="F89" s="21">
        <v>1</v>
      </c>
      <c r="G89" s="22" t="s">
        <v>244</v>
      </c>
      <c r="H89" s="22">
        <v>2</v>
      </c>
      <c r="I89" s="22"/>
      <c r="J89" s="23">
        <f>VLOOKUP(C89,Lab!$C$9:$I$126, 6, FALSE)</f>
        <v>10</v>
      </c>
      <c r="K89" s="23">
        <f>VLOOKUP(C89,Lab!$C$9:$I$126, 7, FALSE)</f>
        <v>10</v>
      </c>
      <c r="L89" s="6">
        <f>_xlfn.IFNA(VLOOKUP(C89, exam!$A$2:$C$115,3,FALSE),0)</f>
        <v>7</v>
      </c>
      <c r="M89" s="20">
        <v>8</v>
      </c>
      <c r="N89" s="6"/>
      <c r="O89" s="20" t="s">
        <v>245</v>
      </c>
      <c r="P89" s="6"/>
      <c r="Q89" s="6"/>
      <c r="R89" s="6">
        <f t="shared" si="0"/>
        <v>8</v>
      </c>
      <c r="S89" s="25">
        <f t="shared" si="1"/>
        <v>2.2000000000000002</v>
      </c>
      <c r="T89" s="25">
        <f t="shared" si="2"/>
        <v>2</v>
      </c>
      <c r="U89" s="6"/>
      <c r="V89" s="6"/>
      <c r="W89" s="6"/>
      <c r="X89" s="6"/>
      <c r="Y89" s="6"/>
      <c r="Z89" s="6"/>
      <c r="AA89" s="6"/>
      <c r="AB89" s="6"/>
    </row>
    <row r="90" spans="1:28" ht="15.75" customHeight="1" x14ac:dyDescent="0.3">
      <c r="A90" s="21">
        <v>82</v>
      </c>
      <c r="B90" s="22" t="s">
        <v>30</v>
      </c>
      <c r="C90" s="22">
        <v>10422062</v>
      </c>
      <c r="D90" s="22" t="s">
        <v>246</v>
      </c>
      <c r="E90" s="22" t="s">
        <v>247</v>
      </c>
      <c r="F90" s="21">
        <v>1</v>
      </c>
      <c r="G90" s="22" t="s">
        <v>248</v>
      </c>
      <c r="H90" s="22">
        <v>1</v>
      </c>
      <c r="I90" s="22"/>
      <c r="J90" s="23">
        <f>VLOOKUP(C90,Lab!$C$9:$I$126, 6, FALSE)</f>
        <v>10</v>
      </c>
      <c r="K90" s="23">
        <f>VLOOKUP(C90,Lab!$C$9:$I$126, 7, FALSE)</f>
        <v>10</v>
      </c>
      <c r="L90" s="6">
        <f>_xlfn.IFNA(VLOOKUP(C90, exam!$A$2:$C$115,3,FALSE),0)</f>
        <v>8.5</v>
      </c>
      <c r="M90" s="39">
        <v>10</v>
      </c>
      <c r="N90" s="39">
        <v>1</v>
      </c>
      <c r="O90" s="6"/>
      <c r="P90" s="6"/>
      <c r="Q90" s="6"/>
      <c r="R90" s="6">
        <f t="shared" si="0"/>
        <v>9.8000000000000007</v>
      </c>
      <c r="S90" s="25">
        <f t="shared" si="1"/>
        <v>1.1000000000000001</v>
      </c>
      <c r="T90" s="25">
        <f t="shared" si="2"/>
        <v>1</v>
      </c>
      <c r="U90" s="6"/>
      <c r="V90" s="6"/>
      <c r="W90" s="6"/>
      <c r="X90" s="6"/>
      <c r="Y90" s="6"/>
      <c r="Z90" s="6"/>
      <c r="AA90" s="6"/>
      <c r="AB90" s="6"/>
    </row>
    <row r="91" spans="1:28" ht="15.75" customHeight="1" x14ac:dyDescent="0.3">
      <c r="A91" s="31">
        <v>83</v>
      </c>
      <c r="B91" s="32" t="s">
        <v>30</v>
      </c>
      <c r="C91" s="32">
        <v>10422063</v>
      </c>
      <c r="D91" s="32" t="s">
        <v>249</v>
      </c>
      <c r="E91" s="32" t="s">
        <v>250</v>
      </c>
      <c r="F91" s="31">
        <v>1</v>
      </c>
      <c r="G91" s="32" t="s">
        <v>251</v>
      </c>
      <c r="H91" s="32">
        <v>1.7</v>
      </c>
      <c r="I91" s="32"/>
      <c r="J91" s="35">
        <f>VLOOKUP(C91,Lab!$C$9:$I$126, 6, FALSE)</f>
        <v>8</v>
      </c>
      <c r="K91" s="35">
        <f>VLOOKUP(C91,Lab!$C$9:$I$126, 7, FALSE)</f>
        <v>10</v>
      </c>
      <c r="L91" s="6">
        <f>_xlfn.IFNA(VLOOKUP(C91, exam!$A$2:$C$115,3,FALSE),0)</f>
        <v>7.75</v>
      </c>
      <c r="M91" s="37">
        <v>10</v>
      </c>
      <c r="N91" s="37">
        <v>0</v>
      </c>
      <c r="O91" s="37" t="s">
        <v>252</v>
      </c>
      <c r="P91" s="36"/>
      <c r="Q91" s="36"/>
      <c r="R91" s="36">
        <f t="shared" si="0"/>
        <v>8.9</v>
      </c>
      <c r="S91" s="38">
        <f t="shared" si="1"/>
        <v>1.7</v>
      </c>
      <c r="T91" s="38">
        <f t="shared" si="2"/>
        <v>1.7</v>
      </c>
      <c r="U91" s="36"/>
      <c r="V91" s="36"/>
      <c r="W91" s="36"/>
      <c r="X91" s="36"/>
      <c r="Y91" s="36"/>
      <c r="Z91" s="36"/>
      <c r="AA91" s="36"/>
      <c r="AB91" s="36"/>
    </row>
    <row r="92" spans="1:28" ht="15.75" customHeight="1" x14ac:dyDescent="0.3">
      <c r="A92" s="21">
        <v>84</v>
      </c>
      <c r="B92" s="22" t="s">
        <v>30</v>
      </c>
      <c r="C92" s="22">
        <v>10422111</v>
      </c>
      <c r="D92" s="22" t="s">
        <v>253</v>
      </c>
      <c r="E92" s="22" t="s">
        <v>250</v>
      </c>
      <c r="F92" s="21">
        <v>1</v>
      </c>
      <c r="G92" s="22" t="s">
        <v>254</v>
      </c>
      <c r="H92" s="22">
        <v>1.7</v>
      </c>
      <c r="I92" s="22"/>
      <c r="J92" s="23">
        <f>VLOOKUP(C92,Lab!$C$9:$I$126, 6, FALSE)</f>
        <v>10</v>
      </c>
      <c r="K92" s="23">
        <f>VLOOKUP(C92,Lab!$C$9:$I$126, 7, FALSE)</f>
        <v>10</v>
      </c>
      <c r="L92" s="6">
        <f>_xlfn.IFNA(VLOOKUP(C92, exam!$A$2:$C$115,3,FALSE),0)</f>
        <v>7</v>
      </c>
      <c r="M92" s="20">
        <v>10</v>
      </c>
      <c r="N92" s="20">
        <v>0</v>
      </c>
      <c r="O92" s="20" t="s">
        <v>161</v>
      </c>
      <c r="P92" s="6"/>
      <c r="Q92" s="6"/>
      <c r="R92" s="6">
        <f t="shared" si="0"/>
        <v>8.8000000000000007</v>
      </c>
      <c r="S92" s="25">
        <f t="shared" si="1"/>
        <v>1.7</v>
      </c>
      <c r="T92" s="25">
        <f t="shared" si="2"/>
        <v>1.7</v>
      </c>
      <c r="U92" s="6"/>
      <c r="V92" s="6"/>
      <c r="W92" s="6"/>
      <c r="X92" s="6"/>
      <c r="Y92" s="6"/>
      <c r="Z92" s="6"/>
      <c r="AA92" s="6"/>
      <c r="AB92" s="6"/>
    </row>
    <row r="93" spans="1:28" ht="15.75" customHeight="1" x14ac:dyDescent="0.3">
      <c r="A93" s="21">
        <v>85</v>
      </c>
      <c r="B93" s="22" t="s">
        <v>30</v>
      </c>
      <c r="C93" s="22">
        <v>10422112</v>
      </c>
      <c r="D93" s="22" t="s">
        <v>255</v>
      </c>
      <c r="E93" s="22" t="s">
        <v>256</v>
      </c>
      <c r="F93" s="21">
        <v>1</v>
      </c>
      <c r="G93" s="22" t="s">
        <v>257</v>
      </c>
      <c r="H93" s="22">
        <v>2.7</v>
      </c>
      <c r="I93" s="22"/>
      <c r="J93" s="23">
        <f>VLOOKUP(C93,Lab!$C$9:$I$126, 6, FALSE)</f>
        <v>0</v>
      </c>
      <c r="K93" s="23">
        <f>VLOOKUP(C93,Lab!$C$9:$I$126, 7, FALSE)</f>
        <v>10</v>
      </c>
      <c r="L93" s="6">
        <f>_xlfn.IFNA(VLOOKUP(C93, exam!$A$2:$C$115,3,FALSE),0)</f>
        <v>4</v>
      </c>
      <c r="M93" s="20">
        <v>10</v>
      </c>
      <c r="N93" s="20">
        <v>1</v>
      </c>
      <c r="O93" s="20" t="s">
        <v>258</v>
      </c>
      <c r="P93" s="6"/>
      <c r="Q93" s="6"/>
      <c r="R93" s="6">
        <f t="shared" si="0"/>
        <v>7</v>
      </c>
      <c r="S93" s="25">
        <f t="shared" si="1"/>
        <v>2.8</v>
      </c>
      <c r="T93" s="25">
        <f t="shared" si="2"/>
        <v>2.7</v>
      </c>
      <c r="U93" s="6"/>
      <c r="V93" s="6"/>
      <c r="W93" s="6"/>
      <c r="X93" s="6"/>
      <c r="Y93" s="6"/>
      <c r="Z93" s="6"/>
      <c r="AA93" s="6"/>
      <c r="AB93" s="6"/>
    </row>
    <row r="94" spans="1:28" ht="15.75" customHeight="1" x14ac:dyDescent="0.3">
      <c r="A94" s="31">
        <v>86</v>
      </c>
      <c r="B94" s="32" t="s">
        <v>30</v>
      </c>
      <c r="C94" s="32">
        <v>10222025</v>
      </c>
      <c r="D94" s="32" t="s">
        <v>259</v>
      </c>
      <c r="E94" s="32" t="s">
        <v>260</v>
      </c>
      <c r="F94" s="31">
        <v>1</v>
      </c>
      <c r="G94" s="32" t="s">
        <v>261</v>
      </c>
      <c r="H94" s="33">
        <v>3</v>
      </c>
      <c r="I94" s="32"/>
      <c r="J94" s="35">
        <f>VLOOKUP(C94,Lab!$C$9:$I$126, 6, FALSE)</f>
        <v>10</v>
      </c>
      <c r="K94" s="35">
        <f>VLOOKUP(C94,Lab!$C$9:$I$126, 7, FALSE)</f>
        <v>10</v>
      </c>
      <c r="L94" s="6">
        <f>_xlfn.IFNA(VLOOKUP(C94, exam!$A$2:$C$115,3,FALSE),0)</f>
        <v>6</v>
      </c>
      <c r="M94" s="37">
        <v>5</v>
      </c>
      <c r="N94" s="36"/>
      <c r="O94" s="36"/>
      <c r="P94" s="36"/>
      <c r="Q94" s="36"/>
      <c r="R94" s="36">
        <f t="shared" si="0"/>
        <v>6.4</v>
      </c>
      <c r="S94" s="38">
        <f t="shared" si="1"/>
        <v>3.2</v>
      </c>
      <c r="T94" s="38">
        <f t="shared" si="2"/>
        <v>3</v>
      </c>
      <c r="U94" s="36"/>
      <c r="V94" s="36"/>
      <c r="W94" s="36"/>
      <c r="X94" s="36"/>
      <c r="Y94" s="36"/>
      <c r="Z94" s="36"/>
      <c r="AA94" s="36"/>
      <c r="AB94" s="36"/>
    </row>
    <row r="95" spans="1:28" ht="15.75" customHeight="1" x14ac:dyDescent="0.3">
      <c r="A95" s="21">
        <v>87</v>
      </c>
      <c r="B95" s="22" t="s">
        <v>30</v>
      </c>
      <c r="C95" s="22">
        <v>10422064</v>
      </c>
      <c r="D95" s="22" t="s">
        <v>262</v>
      </c>
      <c r="E95" s="22" t="s">
        <v>263</v>
      </c>
      <c r="F95" s="21">
        <v>1</v>
      </c>
      <c r="G95" s="22" t="s">
        <v>264</v>
      </c>
      <c r="H95" s="22">
        <v>5</v>
      </c>
      <c r="I95" s="22"/>
      <c r="J95" s="23">
        <f>VLOOKUP(C95,Lab!$C$9:$I$126, 6, FALSE)</f>
        <v>0</v>
      </c>
      <c r="K95" s="23">
        <f>VLOOKUP(C95,Lab!$C$9:$I$126, 7, FALSE)</f>
        <v>10</v>
      </c>
      <c r="L95" s="6">
        <f>_xlfn.IFNA(VLOOKUP(C95, exam!$A$2:$C$115,3,FALSE),0)</f>
        <v>5.25</v>
      </c>
      <c r="M95" s="24"/>
      <c r="N95" s="24"/>
      <c r="O95" s="6"/>
      <c r="P95" s="6"/>
      <c r="Q95" s="6"/>
      <c r="R95" s="6">
        <f t="shared" si="0"/>
        <v>3.1</v>
      </c>
      <c r="S95" s="25">
        <f t="shared" si="1"/>
        <v>5</v>
      </c>
      <c r="T95" s="25">
        <f t="shared" si="2"/>
        <v>5</v>
      </c>
      <c r="U95" s="6"/>
      <c r="V95" s="6"/>
      <c r="W95" s="6"/>
      <c r="X95" s="6"/>
      <c r="Y95" s="6"/>
      <c r="Z95" s="6"/>
      <c r="AA95" s="6"/>
      <c r="AB95" s="6"/>
    </row>
    <row r="96" spans="1:28" ht="15.75" customHeight="1" x14ac:dyDescent="0.3">
      <c r="A96" s="21">
        <v>88</v>
      </c>
      <c r="B96" s="22" t="s">
        <v>30</v>
      </c>
      <c r="C96" s="22">
        <v>10422065</v>
      </c>
      <c r="D96" s="22" t="s">
        <v>265</v>
      </c>
      <c r="E96" s="22" t="s">
        <v>266</v>
      </c>
      <c r="F96" s="21">
        <v>1</v>
      </c>
      <c r="G96" s="22" t="s">
        <v>267</v>
      </c>
      <c r="H96" s="22">
        <v>1.7</v>
      </c>
      <c r="I96" s="22"/>
      <c r="J96" s="23">
        <f>VLOOKUP(C96,Lab!$C$9:$I$126, 6, FALSE)</f>
        <v>8</v>
      </c>
      <c r="K96" s="23">
        <f>VLOOKUP(C96,Lab!$C$9:$I$126, 7, FALSE)</f>
        <v>10</v>
      </c>
      <c r="L96" s="6">
        <f>_xlfn.IFNA(VLOOKUP(C96, exam!$A$2:$C$115,3,FALSE),0)</f>
        <v>6.75</v>
      </c>
      <c r="M96" s="20">
        <v>10</v>
      </c>
      <c r="N96" s="6"/>
      <c r="O96" s="6"/>
      <c r="P96" s="6"/>
      <c r="Q96" s="6"/>
      <c r="R96" s="6">
        <f t="shared" si="0"/>
        <v>8.5</v>
      </c>
      <c r="S96" s="25">
        <f t="shared" si="1"/>
        <v>1.9</v>
      </c>
      <c r="T96" s="25">
        <f t="shared" si="2"/>
        <v>1.7</v>
      </c>
      <c r="U96" s="6"/>
      <c r="V96" s="6"/>
      <c r="W96" s="6"/>
      <c r="X96" s="6"/>
      <c r="Y96" s="6"/>
      <c r="Z96" s="6"/>
      <c r="AA96" s="6"/>
      <c r="AB96" s="6"/>
    </row>
    <row r="97" spans="1:28" ht="15.75" customHeight="1" x14ac:dyDescent="0.3">
      <c r="A97" s="21">
        <v>89</v>
      </c>
      <c r="B97" s="22" t="s">
        <v>30</v>
      </c>
      <c r="C97" s="22">
        <v>10422066</v>
      </c>
      <c r="D97" s="22" t="s">
        <v>76</v>
      </c>
      <c r="E97" s="22" t="s">
        <v>268</v>
      </c>
      <c r="F97" s="21">
        <v>1</v>
      </c>
      <c r="G97" s="22" t="s">
        <v>269</v>
      </c>
      <c r="H97" s="22">
        <v>2.7</v>
      </c>
      <c r="I97" s="22"/>
      <c r="J97" s="23">
        <f>VLOOKUP(C97,Lab!$C$9:$I$126, 6, FALSE)</f>
        <v>0</v>
      </c>
      <c r="K97" s="23">
        <f>VLOOKUP(C97,Lab!$C$9:$I$126, 7, FALSE)</f>
        <v>10</v>
      </c>
      <c r="L97" s="6">
        <f>_xlfn.IFNA(VLOOKUP(C97, exam!$A$2:$C$115,3,FALSE),0)</f>
        <v>5.25</v>
      </c>
      <c r="M97" s="39">
        <v>10</v>
      </c>
      <c r="N97" s="40"/>
      <c r="O97" s="6"/>
      <c r="P97" s="6"/>
      <c r="Q97" s="6"/>
      <c r="R97" s="6">
        <f t="shared" si="0"/>
        <v>7.1</v>
      </c>
      <c r="S97" s="25">
        <f t="shared" si="1"/>
        <v>2.7</v>
      </c>
      <c r="T97" s="25">
        <f t="shared" si="2"/>
        <v>2.7</v>
      </c>
      <c r="U97" s="6"/>
      <c r="V97" s="6"/>
      <c r="W97" s="6"/>
      <c r="X97" s="6"/>
      <c r="Y97" s="6"/>
      <c r="Z97" s="6"/>
      <c r="AA97" s="6"/>
      <c r="AB97" s="6"/>
    </row>
    <row r="98" spans="1:28" ht="15.75" customHeight="1" x14ac:dyDescent="0.3">
      <c r="A98" s="21">
        <v>90</v>
      </c>
      <c r="B98" s="22" t="s">
        <v>30</v>
      </c>
      <c r="C98" s="22">
        <v>10422067</v>
      </c>
      <c r="D98" s="22" t="s">
        <v>270</v>
      </c>
      <c r="E98" s="22" t="s">
        <v>268</v>
      </c>
      <c r="F98" s="21">
        <v>1</v>
      </c>
      <c r="G98" s="22" t="s">
        <v>271</v>
      </c>
      <c r="H98" s="22">
        <v>5</v>
      </c>
      <c r="I98" s="22"/>
      <c r="J98" s="23">
        <f>VLOOKUP(C98,Lab!$C$9:$I$126, 6, FALSE)</f>
        <v>0</v>
      </c>
      <c r="K98" s="23">
        <f>VLOOKUP(C98,Lab!$C$9:$I$126, 7, FALSE)</f>
        <v>0</v>
      </c>
      <c r="L98" s="6">
        <f>_xlfn.IFNA(VLOOKUP(C98, exam!$A$2:$C$115,3,FALSE),0)</f>
        <v>7.25</v>
      </c>
      <c r="M98" s="24"/>
      <c r="N98" s="24"/>
      <c r="O98" s="6"/>
      <c r="P98" s="6"/>
      <c r="Q98" s="6"/>
      <c r="R98" s="6">
        <f t="shared" si="0"/>
        <v>2.9000000000000004</v>
      </c>
      <c r="S98" s="25">
        <f t="shared" si="1"/>
        <v>5</v>
      </c>
      <c r="T98" s="25">
        <f t="shared" si="2"/>
        <v>5</v>
      </c>
      <c r="U98" s="6"/>
      <c r="V98" s="6"/>
      <c r="W98" s="6"/>
      <c r="X98" s="6"/>
      <c r="Y98" s="6"/>
      <c r="Z98" s="6"/>
      <c r="AA98" s="6"/>
      <c r="AB98" s="6"/>
    </row>
    <row r="99" spans="1:28" ht="15.75" customHeight="1" x14ac:dyDescent="0.3">
      <c r="A99" s="21">
        <v>91</v>
      </c>
      <c r="B99" s="22" t="s">
        <v>30</v>
      </c>
      <c r="C99" s="22">
        <v>10422113</v>
      </c>
      <c r="D99" s="22" t="s">
        <v>272</v>
      </c>
      <c r="E99" s="22" t="s">
        <v>273</v>
      </c>
      <c r="F99" s="21">
        <v>1</v>
      </c>
      <c r="G99" s="22" t="s">
        <v>274</v>
      </c>
      <c r="H99" s="22">
        <v>1.3</v>
      </c>
      <c r="I99" s="22"/>
      <c r="J99" s="23">
        <f>VLOOKUP(C99,Lab!$C$9:$I$126, 6, FALSE)</f>
        <v>10</v>
      </c>
      <c r="K99" s="23">
        <f>VLOOKUP(C99,Lab!$C$9:$I$126, 7, FALSE)</f>
        <v>10</v>
      </c>
      <c r="L99" s="6">
        <f>_xlfn.IFNA(VLOOKUP(C99, exam!$A$2:$C$115,3,FALSE),0)</f>
        <v>8</v>
      </c>
      <c r="M99" s="20">
        <v>10</v>
      </c>
      <c r="N99" s="20">
        <v>0</v>
      </c>
      <c r="O99" s="20" t="s">
        <v>275</v>
      </c>
      <c r="P99" s="6"/>
      <c r="Q99" s="6"/>
      <c r="R99" s="6">
        <f t="shared" si="0"/>
        <v>9.1999999999999993</v>
      </c>
      <c r="S99" s="25">
        <f t="shared" si="1"/>
        <v>1.5</v>
      </c>
      <c r="T99" s="25">
        <f t="shared" si="2"/>
        <v>1.3</v>
      </c>
      <c r="U99" s="6"/>
      <c r="V99" s="6"/>
      <c r="W99" s="6"/>
      <c r="X99" s="6"/>
      <c r="Y99" s="6"/>
      <c r="Z99" s="6"/>
      <c r="AA99" s="6"/>
      <c r="AB99" s="6"/>
    </row>
    <row r="100" spans="1:28" ht="15.75" customHeight="1" x14ac:dyDescent="0.3">
      <c r="A100" s="31">
        <v>92</v>
      </c>
      <c r="B100" s="32" t="s">
        <v>30</v>
      </c>
      <c r="C100" s="32">
        <v>10421102</v>
      </c>
      <c r="D100" s="32" t="s">
        <v>276</v>
      </c>
      <c r="E100" s="32" t="s">
        <v>277</v>
      </c>
      <c r="F100" s="31">
        <v>1</v>
      </c>
      <c r="G100" s="32" t="s">
        <v>278</v>
      </c>
      <c r="H100" s="33">
        <v>1.7</v>
      </c>
      <c r="I100" s="32"/>
      <c r="J100" s="35">
        <f>VLOOKUP(C100,Lab!$C$9:$I$126, 6, FALSE)</f>
        <v>4</v>
      </c>
      <c r="K100" s="35">
        <f>VLOOKUP(C100,Lab!$C$9:$I$126, 7, FALSE)</f>
        <v>10</v>
      </c>
      <c r="L100" s="6">
        <f>_xlfn.IFNA(VLOOKUP(C100, exam!$A$2:$C$115,3,FALSE),0)</f>
        <v>8.25</v>
      </c>
      <c r="M100" s="37">
        <v>10</v>
      </c>
      <c r="N100" s="37">
        <v>0</v>
      </c>
      <c r="O100" s="37"/>
      <c r="P100" s="36"/>
      <c r="Q100" s="36"/>
      <c r="R100" s="36">
        <f t="shared" si="0"/>
        <v>8.6999999999999993</v>
      </c>
      <c r="S100" s="38">
        <f t="shared" si="1"/>
        <v>1.8</v>
      </c>
      <c r="T100" s="38">
        <f t="shared" si="2"/>
        <v>1.7</v>
      </c>
      <c r="U100" s="36"/>
      <c r="V100" s="36"/>
      <c r="W100" s="36"/>
      <c r="X100" s="36"/>
      <c r="Y100" s="36"/>
      <c r="Z100" s="36"/>
      <c r="AA100" s="36"/>
      <c r="AB100" s="36"/>
    </row>
    <row r="101" spans="1:28" ht="15.75" customHeight="1" x14ac:dyDescent="0.3">
      <c r="A101" s="31">
        <v>93</v>
      </c>
      <c r="B101" s="32" t="s">
        <v>30</v>
      </c>
      <c r="C101" s="32">
        <v>10422070</v>
      </c>
      <c r="D101" s="32" t="s">
        <v>279</v>
      </c>
      <c r="E101" s="32" t="s">
        <v>280</v>
      </c>
      <c r="F101" s="31">
        <v>1</v>
      </c>
      <c r="G101" s="32" t="s">
        <v>281</v>
      </c>
      <c r="H101" s="33">
        <v>2.2999999999999998</v>
      </c>
      <c r="I101" s="32"/>
      <c r="J101" s="35">
        <f>VLOOKUP(C101,Lab!$C$9:$I$126, 6, FALSE)</f>
        <v>0</v>
      </c>
      <c r="K101" s="35">
        <f>VLOOKUP(C101,Lab!$C$9:$I$126, 7, FALSE)</f>
        <v>10</v>
      </c>
      <c r="L101" s="6">
        <f>_xlfn.IFNA(VLOOKUP(C101, exam!$A$2:$C$115,3,FALSE),0)</f>
        <v>5</v>
      </c>
      <c r="M101" s="37">
        <v>10</v>
      </c>
      <c r="N101" s="37">
        <v>1</v>
      </c>
      <c r="O101" s="37" t="s">
        <v>282</v>
      </c>
      <c r="P101" s="36"/>
      <c r="Q101" s="36"/>
      <c r="R101" s="36">
        <f t="shared" si="0"/>
        <v>7.4</v>
      </c>
      <c r="S101" s="38">
        <f t="shared" si="1"/>
        <v>2.6</v>
      </c>
      <c r="T101" s="38">
        <f t="shared" si="2"/>
        <v>2.2999999999999998</v>
      </c>
      <c r="U101" s="36"/>
      <c r="V101" s="36"/>
      <c r="W101" s="36"/>
      <c r="X101" s="36"/>
      <c r="Y101" s="36"/>
      <c r="Z101" s="36"/>
      <c r="AA101" s="36"/>
      <c r="AB101" s="36"/>
    </row>
    <row r="102" spans="1:28" ht="15.75" customHeight="1" x14ac:dyDescent="0.3">
      <c r="A102" s="21">
        <v>94</v>
      </c>
      <c r="B102" s="22" t="s">
        <v>30</v>
      </c>
      <c r="C102" s="22">
        <v>10422071</v>
      </c>
      <c r="D102" s="22" t="s">
        <v>283</v>
      </c>
      <c r="E102" s="22" t="s">
        <v>284</v>
      </c>
      <c r="F102" s="21">
        <v>1</v>
      </c>
      <c r="G102" s="22" t="s">
        <v>285</v>
      </c>
      <c r="H102" s="22">
        <v>3.3</v>
      </c>
      <c r="I102" s="22"/>
      <c r="J102" s="23">
        <f>VLOOKUP(C102,Lab!$C$9:$I$126, 6, FALSE)</f>
        <v>2</v>
      </c>
      <c r="K102" s="23">
        <f>VLOOKUP(C102,Lab!$C$9:$I$126, 7, FALSE)</f>
        <v>10</v>
      </c>
      <c r="L102" s="6">
        <f>_xlfn.IFNA(VLOOKUP(C102, exam!$A$2:$C$115,3,FALSE),0)</f>
        <v>6.5</v>
      </c>
      <c r="M102" s="20">
        <v>5</v>
      </c>
      <c r="N102" s="6"/>
      <c r="O102" s="20" t="s">
        <v>286</v>
      </c>
      <c r="P102" s="6"/>
      <c r="Q102" s="6"/>
      <c r="R102" s="6">
        <f t="shared" si="0"/>
        <v>5.8</v>
      </c>
      <c r="S102" s="25">
        <f t="shared" si="1"/>
        <v>3.5</v>
      </c>
      <c r="T102" s="25">
        <f t="shared" si="2"/>
        <v>3.3</v>
      </c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 x14ac:dyDescent="0.3">
      <c r="A103" s="21">
        <v>95</v>
      </c>
      <c r="B103" s="22" t="s">
        <v>30</v>
      </c>
      <c r="C103" s="22">
        <v>10421053</v>
      </c>
      <c r="D103" s="22" t="s">
        <v>287</v>
      </c>
      <c r="E103" s="22" t="s">
        <v>288</v>
      </c>
      <c r="F103" s="21">
        <v>1</v>
      </c>
      <c r="G103" s="22" t="s">
        <v>289</v>
      </c>
      <c r="H103" s="22">
        <v>2</v>
      </c>
      <c r="I103" s="22"/>
      <c r="J103" s="23">
        <f>VLOOKUP(C103,Lab!$C$9:$I$126, 6, FALSE)</f>
        <v>2</v>
      </c>
      <c r="K103" s="23">
        <f>VLOOKUP(C103,Lab!$C$9:$I$126, 7, FALSE)</f>
        <v>10</v>
      </c>
      <c r="L103" s="6">
        <f>_xlfn.IFNA(VLOOKUP(C103, exam!$A$2:$C$115,3,FALSE),0)</f>
        <v>7.75</v>
      </c>
      <c r="M103" s="20">
        <v>10</v>
      </c>
      <c r="N103" s="6"/>
      <c r="O103" s="6"/>
      <c r="P103" s="6"/>
      <c r="Q103" s="6"/>
      <c r="R103" s="6">
        <f t="shared" si="0"/>
        <v>8.3000000000000007</v>
      </c>
      <c r="S103" s="25">
        <f t="shared" si="1"/>
        <v>2</v>
      </c>
      <c r="T103" s="25">
        <f t="shared" si="2"/>
        <v>2</v>
      </c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 x14ac:dyDescent="0.3">
      <c r="A104" s="21">
        <v>96</v>
      </c>
      <c r="B104" s="22" t="s">
        <v>30</v>
      </c>
      <c r="C104" s="22">
        <v>10422114</v>
      </c>
      <c r="D104" s="22" t="s">
        <v>290</v>
      </c>
      <c r="E104" s="22" t="s">
        <v>291</v>
      </c>
      <c r="F104" s="21">
        <v>1</v>
      </c>
      <c r="G104" s="22" t="s">
        <v>292</v>
      </c>
      <c r="H104" s="22">
        <v>2</v>
      </c>
      <c r="I104" s="22"/>
      <c r="J104" s="23">
        <f>VLOOKUP(C104,Lab!$C$9:$I$126, 6, FALSE)</f>
        <v>10</v>
      </c>
      <c r="K104" s="23">
        <f>VLOOKUP(C104,Lab!$C$9:$I$126, 7, FALSE)</f>
        <v>10</v>
      </c>
      <c r="L104" s="6">
        <f>_xlfn.IFNA(VLOOKUP(C104, exam!$A$2:$C$115,3,FALSE),0)</f>
        <v>5</v>
      </c>
      <c r="M104" s="39">
        <v>10</v>
      </c>
      <c r="N104" s="40"/>
      <c r="O104" s="6"/>
      <c r="P104" s="6"/>
      <c r="Q104" s="6"/>
      <c r="R104" s="6">
        <f t="shared" si="0"/>
        <v>8</v>
      </c>
      <c r="S104" s="25">
        <f t="shared" si="1"/>
        <v>2.2000000000000002</v>
      </c>
      <c r="T104" s="25">
        <f t="shared" si="2"/>
        <v>2</v>
      </c>
      <c r="U104" s="6"/>
      <c r="V104" s="6"/>
      <c r="W104" s="6"/>
      <c r="X104" s="6"/>
      <c r="Y104" s="6"/>
      <c r="Z104" s="6"/>
      <c r="AA104" s="6"/>
      <c r="AB104" s="6"/>
    </row>
    <row r="105" spans="1:28" ht="15.75" customHeight="1" x14ac:dyDescent="0.3">
      <c r="A105" s="21">
        <v>97</v>
      </c>
      <c r="B105" s="22" t="s">
        <v>30</v>
      </c>
      <c r="C105" s="22">
        <v>10422072</v>
      </c>
      <c r="D105" s="22" t="s">
        <v>238</v>
      </c>
      <c r="E105" s="22" t="s">
        <v>293</v>
      </c>
      <c r="F105" s="21">
        <v>1</v>
      </c>
      <c r="G105" s="22" t="s">
        <v>294</v>
      </c>
      <c r="H105" s="22">
        <v>5</v>
      </c>
      <c r="I105" s="22"/>
      <c r="J105" s="23">
        <f>VLOOKUP(C105,Lab!$C$9:$I$126, 6, FALSE)</f>
        <v>10</v>
      </c>
      <c r="K105" s="23">
        <f>VLOOKUP(C105,Lab!$C$9:$I$126, 7, FALSE)</f>
        <v>10</v>
      </c>
      <c r="L105" s="6">
        <f>_xlfn.IFNA(VLOOKUP(C105, exam!$A$2:$C$115,3,FALSE),0)</f>
        <v>6.25</v>
      </c>
      <c r="M105" s="26"/>
      <c r="N105" s="26"/>
      <c r="O105" s="6"/>
      <c r="P105" s="6"/>
      <c r="Q105" s="6"/>
      <c r="R105" s="6">
        <f t="shared" si="0"/>
        <v>4.5</v>
      </c>
      <c r="S105" s="25">
        <f t="shared" si="1"/>
        <v>5</v>
      </c>
      <c r="T105" s="25">
        <f t="shared" si="2"/>
        <v>5</v>
      </c>
      <c r="U105" s="6"/>
      <c r="V105" s="6"/>
      <c r="W105" s="6"/>
      <c r="X105" s="6"/>
      <c r="Y105" s="6"/>
      <c r="Z105" s="6"/>
      <c r="AA105" s="6"/>
      <c r="AB105" s="6"/>
    </row>
    <row r="106" spans="1:28" ht="15.75" customHeight="1" x14ac:dyDescent="0.3">
      <c r="A106" s="21">
        <v>98</v>
      </c>
      <c r="B106" s="22" t="s">
        <v>30</v>
      </c>
      <c r="C106" s="22">
        <v>10422074</v>
      </c>
      <c r="D106" s="22" t="s">
        <v>295</v>
      </c>
      <c r="E106" s="22" t="s">
        <v>296</v>
      </c>
      <c r="F106" s="21">
        <v>1</v>
      </c>
      <c r="G106" s="22" t="s">
        <v>297</v>
      </c>
      <c r="H106" s="22">
        <v>1.7</v>
      </c>
      <c r="I106" s="22"/>
      <c r="J106" s="23">
        <f>VLOOKUP(C106,Lab!$C$9:$I$126, 6, FALSE)</f>
        <v>10</v>
      </c>
      <c r="K106" s="23">
        <f>VLOOKUP(C106,Lab!$C$9:$I$126, 7, FALSE)</f>
        <v>10</v>
      </c>
      <c r="L106" s="6">
        <f>_xlfn.IFNA(VLOOKUP(C106, exam!$A$2:$C$115,3,FALSE),0)</f>
        <v>7.25</v>
      </c>
      <c r="M106" s="20">
        <v>10</v>
      </c>
      <c r="N106" s="6"/>
      <c r="O106" s="6"/>
      <c r="P106" s="6"/>
      <c r="Q106" s="6"/>
      <c r="R106" s="6">
        <f t="shared" si="0"/>
        <v>8.9</v>
      </c>
      <c r="S106" s="25">
        <f t="shared" si="1"/>
        <v>1.7</v>
      </c>
      <c r="T106" s="25">
        <f t="shared" si="2"/>
        <v>1.7</v>
      </c>
      <c r="U106" s="6"/>
      <c r="V106" s="6"/>
      <c r="W106" s="6"/>
      <c r="X106" s="6"/>
      <c r="Y106" s="6"/>
      <c r="Z106" s="6"/>
      <c r="AA106" s="6"/>
      <c r="AB106" s="6"/>
    </row>
    <row r="107" spans="1:28" ht="15.75" customHeight="1" x14ac:dyDescent="0.3">
      <c r="A107" s="21">
        <v>99</v>
      </c>
      <c r="B107" s="22" t="s">
        <v>30</v>
      </c>
      <c r="C107" s="22">
        <v>10422075</v>
      </c>
      <c r="D107" s="22" t="s">
        <v>298</v>
      </c>
      <c r="E107" s="22" t="s">
        <v>296</v>
      </c>
      <c r="F107" s="21">
        <v>1</v>
      </c>
      <c r="G107" s="22" t="s">
        <v>299</v>
      </c>
      <c r="H107" s="22">
        <v>1.3</v>
      </c>
      <c r="I107" s="22"/>
      <c r="J107" s="23">
        <f>VLOOKUP(C107,Lab!$C$9:$I$126, 6, FALSE)</f>
        <v>10</v>
      </c>
      <c r="K107" s="23">
        <f>VLOOKUP(C107,Lab!$C$9:$I$126, 7, FALSE)</f>
        <v>10</v>
      </c>
      <c r="L107" s="6">
        <f>_xlfn.IFNA(VLOOKUP(C107, exam!$A$2:$C$115,3,FALSE),0)</f>
        <v>8.75</v>
      </c>
      <c r="M107" s="20">
        <v>10</v>
      </c>
      <c r="N107" s="20">
        <v>0</v>
      </c>
      <c r="O107" s="20" t="s">
        <v>143</v>
      </c>
      <c r="P107" s="6"/>
      <c r="Q107" s="6"/>
      <c r="R107" s="6">
        <f t="shared" si="0"/>
        <v>9.5</v>
      </c>
      <c r="S107" s="25">
        <f t="shared" si="1"/>
        <v>1.3</v>
      </c>
      <c r="T107" s="25">
        <f t="shared" si="2"/>
        <v>1.3</v>
      </c>
      <c r="U107" s="6"/>
      <c r="V107" s="6"/>
      <c r="W107" s="6"/>
      <c r="X107" s="6"/>
      <c r="Y107" s="6"/>
      <c r="Z107" s="6"/>
      <c r="AA107" s="6"/>
      <c r="AB107" s="6"/>
    </row>
    <row r="108" spans="1:28" ht="15.75" customHeight="1" x14ac:dyDescent="0.3">
      <c r="A108" s="21">
        <v>100</v>
      </c>
      <c r="B108" s="22" t="s">
        <v>30</v>
      </c>
      <c r="C108" s="22">
        <v>18919</v>
      </c>
      <c r="D108" s="22" t="s">
        <v>89</v>
      </c>
      <c r="E108" s="22" t="s">
        <v>300</v>
      </c>
      <c r="F108" s="21">
        <v>1</v>
      </c>
      <c r="G108" s="22" t="s">
        <v>301</v>
      </c>
      <c r="H108" s="22">
        <v>5</v>
      </c>
      <c r="I108" s="22" t="s">
        <v>125</v>
      </c>
      <c r="J108" s="23">
        <f>VLOOKUP(C108,Lab!$C$9:$I$126, 6, FALSE)</f>
        <v>0</v>
      </c>
      <c r="K108" s="23">
        <f>VLOOKUP(C108,Lab!$C$9:$I$126, 7, FALSE)</f>
        <v>0</v>
      </c>
      <c r="L108" s="6">
        <f>_xlfn.IFNA(VLOOKUP(C108, exam!$A$2:$C$115,3,FALSE),0)</f>
        <v>0</v>
      </c>
      <c r="M108" s="6"/>
      <c r="N108" s="6"/>
      <c r="O108" s="6"/>
      <c r="P108" s="6"/>
      <c r="Q108" s="6"/>
      <c r="R108" s="6">
        <f t="shared" si="0"/>
        <v>0</v>
      </c>
      <c r="S108" s="25">
        <f t="shared" si="1"/>
        <v>5</v>
      </c>
      <c r="T108" s="25">
        <f t="shared" si="2"/>
        <v>5</v>
      </c>
      <c r="U108" s="6"/>
      <c r="V108" s="6"/>
      <c r="W108" s="6"/>
      <c r="X108" s="6"/>
      <c r="Y108" s="6"/>
      <c r="Z108" s="6"/>
      <c r="AA108" s="6"/>
      <c r="AB108" s="6"/>
    </row>
    <row r="109" spans="1:28" ht="15.75" customHeight="1" x14ac:dyDescent="0.3">
      <c r="A109" s="21">
        <v>101</v>
      </c>
      <c r="B109" s="22" t="s">
        <v>30</v>
      </c>
      <c r="C109" s="22">
        <v>10422117</v>
      </c>
      <c r="D109" s="22" t="s">
        <v>272</v>
      </c>
      <c r="E109" s="22" t="s">
        <v>302</v>
      </c>
      <c r="F109" s="21">
        <v>1</v>
      </c>
      <c r="G109" s="22" t="s">
        <v>303</v>
      </c>
      <c r="H109" s="22">
        <v>2</v>
      </c>
      <c r="I109" s="22"/>
      <c r="J109" s="23">
        <f>VLOOKUP(C109,Lab!$C$9:$I$126, 6, FALSE)</f>
        <v>10</v>
      </c>
      <c r="K109" s="23">
        <f>VLOOKUP(C109,Lab!$C$9:$I$126, 7, FALSE)</f>
        <v>10</v>
      </c>
      <c r="L109" s="6">
        <f>_xlfn.IFNA(VLOOKUP(C109, exam!$A$2:$C$115,3,FALSE),0)</f>
        <v>5.5</v>
      </c>
      <c r="M109" s="20">
        <v>10</v>
      </c>
      <c r="N109" s="6"/>
      <c r="O109" s="6"/>
      <c r="P109" s="6"/>
      <c r="Q109" s="6"/>
      <c r="R109" s="6">
        <f t="shared" si="0"/>
        <v>8.1999999999999993</v>
      </c>
      <c r="S109" s="25">
        <f t="shared" si="1"/>
        <v>2.1</v>
      </c>
      <c r="T109" s="25">
        <f t="shared" si="2"/>
        <v>2</v>
      </c>
      <c r="U109" s="6"/>
      <c r="V109" s="6"/>
      <c r="W109" s="6"/>
      <c r="X109" s="6"/>
      <c r="Y109" s="6"/>
      <c r="Z109" s="6"/>
      <c r="AA109" s="6"/>
      <c r="AB109" s="6"/>
    </row>
    <row r="110" spans="1:28" ht="15.75" customHeight="1" x14ac:dyDescent="0.3">
      <c r="A110" s="21">
        <v>102</v>
      </c>
      <c r="B110" s="22" t="s">
        <v>30</v>
      </c>
      <c r="C110" s="22">
        <v>10422077</v>
      </c>
      <c r="D110" s="22" t="s">
        <v>304</v>
      </c>
      <c r="E110" s="22" t="s">
        <v>305</v>
      </c>
      <c r="F110" s="21">
        <v>1</v>
      </c>
      <c r="G110" s="22" t="s">
        <v>306</v>
      </c>
      <c r="H110" s="22">
        <v>5</v>
      </c>
      <c r="I110" s="22" t="s">
        <v>125</v>
      </c>
      <c r="J110" s="23">
        <f>VLOOKUP(C110,Lab!$C$9:$I$126, 6, FALSE)</f>
        <v>0</v>
      </c>
      <c r="K110" s="23">
        <f>VLOOKUP(C110,Lab!$C$9:$I$126, 7, FALSE)</f>
        <v>0</v>
      </c>
      <c r="L110" s="6">
        <f>_xlfn.IFNA(VLOOKUP(C110, exam!$A$2:$C$115,3,FALSE),0)</f>
        <v>0</v>
      </c>
      <c r="M110" s="6"/>
      <c r="N110" s="6"/>
      <c r="O110" s="6"/>
      <c r="P110" s="6"/>
      <c r="Q110" s="6"/>
      <c r="R110" s="6">
        <f t="shared" si="0"/>
        <v>0</v>
      </c>
      <c r="S110" s="25">
        <f t="shared" si="1"/>
        <v>5</v>
      </c>
      <c r="T110" s="25">
        <f t="shared" si="2"/>
        <v>5</v>
      </c>
      <c r="U110" s="6"/>
      <c r="V110" s="6"/>
      <c r="W110" s="6"/>
      <c r="X110" s="6"/>
      <c r="Y110" s="6"/>
      <c r="Z110" s="6"/>
      <c r="AA110" s="6"/>
      <c r="AB110" s="6"/>
    </row>
    <row r="111" spans="1:28" ht="15.75" customHeight="1" x14ac:dyDescent="0.3">
      <c r="A111" s="21">
        <v>103</v>
      </c>
      <c r="B111" s="22" t="s">
        <v>30</v>
      </c>
      <c r="C111" s="22">
        <v>10422124</v>
      </c>
      <c r="D111" s="22" t="s">
        <v>307</v>
      </c>
      <c r="E111" s="22" t="s">
        <v>308</v>
      </c>
      <c r="F111" s="21">
        <v>1</v>
      </c>
      <c r="G111" s="22" t="s">
        <v>309</v>
      </c>
      <c r="H111" s="22">
        <v>5</v>
      </c>
      <c r="I111" s="22"/>
      <c r="J111" s="23">
        <f>VLOOKUP(C111,Lab!$C$9:$I$126, 6, FALSE)</f>
        <v>0</v>
      </c>
      <c r="K111" s="23">
        <f>VLOOKUP(C111,Lab!$C$9:$I$126, 7, FALSE)</f>
        <v>10</v>
      </c>
      <c r="L111" s="6">
        <f>_xlfn.IFNA(VLOOKUP(C111, exam!$A$2:$C$115,3,FALSE),0)</f>
        <v>6.5</v>
      </c>
      <c r="M111" s="24"/>
      <c r="N111" s="24"/>
      <c r="O111" s="6"/>
      <c r="P111" s="6"/>
      <c r="Q111" s="6"/>
      <c r="R111" s="6">
        <f t="shared" si="0"/>
        <v>3.6</v>
      </c>
      <c r="S111" s="25">
        <f t="shared" si="1"/>
        <v>5</v>
      </c>
      <c r="T111" s="25">
        <f t="shared" si="2"/>
        <v>5</v>
      </c>
      <c r="U111" s="6"/>
      <c r="V111" s="6"/>
      <c r="W111" s="6"/>
      <c r="X111" s="6"/>
      <c r="Y111" s="6"/>
      <c r="Z111" s="6"/>
      <c r="AA111" s="6"/>
      <c r="AB111" s="6"/>
    </row>
    <row r="112" spans="1:28" ht="15.75" customHeight="1" x14ac:dyDescent="0.3">
      <c r="A112" s="21">
        <v>104</v>
      </c>
      <c r="B112" s="22" t="s">
        <v>30</v>
      </c>
      <c r="C112" s="22">
        <v>10422078</v>
      </c>
      <c r="D112" s="22" t="s">
        <v>310</v>
      </c>
      <c r="E112" s="22" t="s">
        <v>311</v>
      </c>
      <c r="F112" s="21">
        <v>1</v>
      </c>
      <c r="G112" s="22" t="s">
        <v>312</v>
      </c>
      <c r="H112" s="22">
        <v>1.3</v>
      </c>
      <c r="I112" s="22"/>
      <c r="J112" s="23">
        <f>VLOOKUP(C112,Lab!$C$9:$I$126, 6, FALSE)</f>
        <v>0</v>
      </c>
      <c r="K112" s="23">
        <f>VLOOKUP(C112,Lab!$C$9:$I$126, 7, FALSE)</f>
        <v>10</v>
      </c>
      <c r="L112" s="6">
        <f>_xlfn.IFNA(VLOOKUP(C112, exam!$A$2:$C$115,3,FALSE),0)</f>
        <v>9.25</v>
      </c>
      <c r="M112" s="20">
        <v>10</v>
      </c>
      <c r="N112" s="20">
        <v>1</v>
      </c>
      <c r="O112" s="20" t="s">
        <v>313</v>
      </c>
      <c r="P112" s="6"/>
      <c r="Q112" s="6"/>
      <c r="R112" s="6">
        <f t="shared" si="0"/>
        <v>9</v>
      </c>
      <c r="S112" s="25">
        <f t="shared" si="1"/>
        <v>1.6</v>
      </c>
      <c r="T112" s="25">
        <f t="shared" si="2"/>
        <v>1.3</v>
      </c>
      <c r="U112" s="6"/>
      <c r="V112" s="6"/>
      <c r="W112" s="6"/>
      <c r="X112" s="6"/>
      <c r="Y112" s="6"/>
      <c r="Z112" s="6"/>
      <c r="AA112" s="6"/>
      <c r="AB112" s="6"/>
    </row>
    <row r="113" spans="1:28" ht="15.75" customHeight="1" x14ac:dyDescent="0.3">
      <c r="A113" s="21">
        <v>105</v>
      </c>
      <c r="B113" s="22" t="s">
        <v>30</v>
      </c>
      <c r="C113" s="22">
        <v>10422118</v>
      </c>
      <c r="D113" s="22" t="s">
        <v>314</v>
      </c>
      <c r="E113" s="22" t="s">
        <v>315</v>
      </c>
      <c r="F113" s="21">
        <v>1</v>
      </c>
      <c r="G113" s="22" t="s">
        <v>316</v>
      </c>
      <c r="H113" s="22">
        <v>1.3</v>
      </c>
      <c r="I113" s="22"/>
      <c r="J113" s="23">
        <f>VLOOKUP(C113,Lab!$C$9:$I$126, 6, FALSE)</f>
        <v>10</v>
      </c>
      <c r="K113" s="23">
        <f>VLOOKUP(C113,Lab!$C$9:$I$126, 7, FALSE)</f>
        <v>10</v>
      </c>
      <c r="L113" s="6">
        <f>_xlfn.IFNA(VLOOKUP(C113, exam!$A$2:$C$115,3,FALSE),0)</f>
        <v>7.5</v>
      </c>
      <c r="M113" s="20">
        <v>10</v>
      </c>
      <c r="N113" s="20">
        <v>0</v>
      </c>
      <c r="O113" s="20" t="s">
        <v>317</v>
      </c>
      <c r="P113" s="6"/>
      <c r="Q113" s="6"/>
      <c r="R113" s="6">
        <f t="shared" si="0"/>
        <v>9</v>
      </c>
      <c r="S113" s="25">
        <f t="shared" si="1"/>
        <v>1.6</v>
      </c>
      <c r="T113" s="25">
        <f t="shared" si="2"/>
        <v>1.3</v>
      </c>
      <c r="U113" s="6"/>
      <c r="V113" s="6"/>
      <c r="W113" s="6"/>
      <c r="X113" s="6"/>
      <c r="Y113" s="6"/>
      <c r="Z113" s="6"/>
      <c r="AA113" s="6"/>
      <c r="AB113" s="6"/>
    </row>
    <row r="114" spans="1:28" ht="15.75" customHeight="1" x14ac:dyDescent="0.3">
      <c r="A114" s="21">
        <v>106</v>
      </c>
      <c r="B114" s="22" t="s">
        <v>30</v>
      </c>
      <c r="C114" s="22">
        <v>10422119</v>
      </c>
      <c r="D114" s="22" t="s">
        <v>318</v>
      </c>
      <c r="E114" s="22" t="s">
        <v>319</v>
      </c>
      <c r="F114" s="21">
        <v>1</v>
      </c>
      <c r="G114" s="22" t="s">
        <v>320</v>
      </c>
      <c r="H114" s="22">
        <v>3.3</v>
      </c>
      <c r="I114" s="22"/>
      <c r="J114" s="23">
        <f>VLOOKUP(C114,Lab!$C$9:$I$126, 6, FALSE)</f>
        <v>8</v>
      </c>
      <c r="K114" s="23">
        <f>VLOOKUP(C114,Lab!$C$9:$I$126, 7, FALSE)</f>
        <v>10</v>
      </c>
      <c r="L114" s="6">
        <f>_xlfn.IFNA(VLOOKUP(C114, exam!$A$2:$C$115,3,FALSE),0)</f>
        <v>5</v>
      </c>
      <c r="M114" s="20">
        <v>6</v>
      </c>
      <c r="N114" s="6"/>
      <c r="O114" s="20" t="s">
        <v>321</v>
      </c>
      <c r="P114" s="6"/>
      <c r="Q114" s="6"/>
      <c r="R114" s="6">
        <f t="shared" si="0"/>
        <v>6.2</v>
      </c>
      <c r="S114" s="25">
        <f t="shared" si="1"/>
        <v>3.3</v>
      </c>
      <c r="T114" s="25">
        <f t="shared" si="2"/>
        <v>3.3</v>
      </c>
      <c r="U114" s="6"/>
      <c r="V114" s="6"/>
      <c r="W114" s="6"/>
      <c r="X114" s="6"/>
      <c r="Y114" s="6"/>
      <c r="Z114" s="6"/>
      <c r="AA114" s="6"/>
      <c r="AB114" s="6"/>
    </row>
    <row r="115" spans="1:28" ht="15.75" customHeight="1" x14ac:dyDescent="0.3">
      <c r="A115" s="21">
        <v>107</v>
      </c>
      <c r="B115" s="22" t="s">
        <v>30</v>
      </c>
      <c r="C115" s="22">
        <v>10422120</v>
      </c>
      <c r="D115" s="22" t="s">
        <v>322</v>
      </c>
      <c r="E115" s="22" t="s">
        <v>323</v>
      </c>
      <c r="F115" s="21">
        <v>1</v>
      </c>
      <c r="G115" s="22" t="s">
        <v>324</v>
      </c>
      <c r="H115" s="22">
        <v>2</v>
      </c>
      <c r="I115" s="22"/>
      <c r="J115" s="23">
        <f>VLOOKUP(C115,Lab!$C$9:$I$126, 6, FALSE)</f>
        <v>4</v>
      </c>
      <c r="K115" s="23">
        <f>VLOOKUP(C115,Lab!$C$9:$I$126, 7, FALSE)</f>
        <v>10</v>
      </c>
      <c r="L115" s="6">
        <f>_xlfn.IFNA(VLOOKUP(C115, exam!$A$2:$C$115,3,FALSE),0)</f>
        <v>5.5</v>
      </c>
      <c r="M115" s="20">
        <v>10</v>
      </c>
      <c r="N115" s="20">
        <v>1</v>
      </c>
      <c r="O115" s="6"/>
      <c r="P115" s="6"/>
      <c r="Q115" s="6"/>
      <c r="R115" s="6">
        <f t="shared" si="0"/>
        <v>8</v>
      </c>
      <c r="S115" s="25">
        <f t="shared" si="1"/>
        <v>2.2000000000000002</v>
      </c>
      <c r="T115" s="25">
        <f t="shared" si="2"/>
        <v>2</v>
      </c>
      <c r="U115" s="6"/>
      <c r="V115" s="6"/>
      <c r="W115" s="6"/>
      <c r="X115" s="6"/>
      <c r="Y115" s="6"/>
      <c r="Z115" s="6"/>
      <c r="AA115" s="6"/>
      <c r="AB115" s="6"/>
    </row>
    <row r="116" spans="1:28" ht="15.75" customHeight="1" x14ac:dyDescent="0.3">
      <c r="A116" s="21">
        <v>108</v>
      </c>
      <c r="B116" s="22" t="s">
        <v>30</v>
      </c>
      <c r="C116" s="22">
        <v>10421124</v>
      </c>
      <c r="D116" s="22" t="s">
        <v>265</v>
      </c>
      <c r="E116" s="22" t="s">
        <v>325</v>
      </c>
      <c r="F116" s="21">
        <v>1</v>
      </c>
      <c r="G116" s="22" t="s">
        <v>326</v>
      </c>
      <c r="H116" s="22">
        <v>2.7</v>
      </c>
      <c r="I116" s="22"/>
      <c r="J116" s="23">
        <f>VLOOKUP(C116,Lab!$C$9:$I$126, 6, FALSE)</f>
        <v>10</v>
      </c>
      <c r="K116" s="23">
        <f>VLOOKUP(C116,Lab!$C$9:$I$126, 7, FALSE)</f>
        <v>10</v>
      </c>
      <c r="L116" s="6">
        <f>_xlfn.IFNA(VLOOKUP(C116, exam!$A$2:$C$115,3,FALSE),0)</f>
        <v>4.5</v>
      </c>
      <c r="M116" s="20">
        <v>8</v>
      </c>
      <c r="N116" s="6"/>
      <c r="O116" s="20" t="s">
        <v>327</v>
      </c>
      <c r="P116" s="6"/>
      <c r="Q116" s="6"/>
      <c r="R116" s="6">
        <f t="shared" si="0"/>
        <v>7</v>
      </c>
      <c r="S116" s="25">
        <f t="shared" si="1"/>
        <v>2.8</v>
      </c>
      <c r="T116" s="25">
        <f t="shared" si="2"/>
        <v>2.7</v>
      </c>
      <c r="U116" s="6"/>
      <c r="V116" s="6"/>
      <c r="W116" s="6"/>
      <c r="X116" s="6"/>
      <c r="Y116" s="6"/>
      <c r="Z116" s="6"/>
      <c r="AA116" s="6"/>
      <c r="AB116" s="6"/>
    </row>
    <row r="117" spans="1:28" ht="15.75" customHeight="1" x14ac:dyDescent="0.3">
      <c r="A117" s="21">
        <v>109</v>
      </c>
      <c r="B117" s="22" t="s">
        <v>30</v>
      </c>
      <c r="C117" s="22">
        <v>10422079</v>
      </c>
      <c r="D117" s="22" t="s">
        <v>328</v>
      </c>
      <c r="E117" s="22" t="s">
        <v>325</v>
      </c>
      <c r="F117" s="21">
        <v>1</v>
      </c>
      <c r="G117" s="22" t="s">
        <v>329</v>
      </c>
      <c r="H117" s="22">
        <v>5</v>
      </c>
      <c r="I117" s="22"/>
      <c r="J117" s="23">
        <f>VLOOKUP(C117,Lab!$C$9:$I$126, 6, FALSE)</f>
        <v>0</v>
      </c>
      <c r="K117" s="23">
        <f>VLOOKUP(C117,Lab!$C$9:$I$126, 7, FALSE)</f>
        <v>0</v>
      </c>
      <c r="L117" s="6">
        <f>_xlfn.IFNA(VLOOKUP(C117, exam!$A$2:$C$115,3,FALSE),0)</f>
        <v>5.5</v>
      </c>
      <c r="M117" s="26"/>
      <c r="N117" s="26"/>
      <c r="O117" s="6"/>
      <c r="P117" s="6"/>
      <c r="Q117" s="6"/>
      <c r="R117" s="6">
        <f t="shared" si="0"/>
        <v>2.2000000000000002</v>
      </c>
      <c r="S117" s="25">
        <f t="shared" si="1"/>
        <v>5</v>
      </c>
      <c r="T117" s="25">
        <f t="shared" si="2"/>
        <v>5</v>
      </c>
      <c r="U117" s="6"/>
      <c r="V117" s="6"/>
      <c r="W117" s="6"/>
      <c r="X117" s="6"/>
      <c r="Y117" s="6"/>
      <c r="Z117" s="6"/>
      <c r="AA117" s="6"/>
      <c r="AB117" s="6"/>
    </row>
    <row r="118" spans="1:28" ht="15.75" customHeight="1" x14ac:dyDescent="0.3">
      <c r="A118" s="21">
        <v>110</v>
      </c>
      <c r="B118" s="22" t="s">
        <v>30</v>
      </c>
      <c r="C118" s="22">
        <v>10422080</v>
      </c>
      <c r="D118" s="22" t="s">
        <v>238</v>
      </c>
      <c r="E118" s="22" t="s">
        <v>330</v>
      </c>
      <c r="F118" s="21">
        <v>1</v>
      </c>
      <c r="G118" s="22" t="s">
        <v>331</v>
      </c>
      <c r="H118" s="22">
        <v>2.7</v>
      </c>
      <c r="I118" s="22"/>
      <c r="J118" s="23">
        <f>VLOOKUP(C118,Lab!$C$9:$I$126, 6, FALSE)</f>
        <v>10</v>
      </c>
      <c r="K118" s="23">
        <f>VLOOKUP(C118,Lab!$C$9:$I$126, 7, FALSE)</f>
        <v>10</v>
      </c>
      <c r="L118" s="6">
        <f>_xlfn.IFNA(VLOOKUP(C118, exam!$A$2:$C$115,3,FALSE),0)</f>
        <v>6.75</v>
      </c>
      <c r="M118" s="20">
        <v>6</v>
      </c>
      <c r="N118" s="6"/>
      <c r="O118" s="20" t="s">
        <v>332</v>
      </c>
      <c r="P118" s="6"/>
      <c r="Q118" s="6"/>
      <c r="R118" s="6">
        <f t="shared" si="0"/>
        <v>7.1000000000000005</v>
      </c>
      <c r="S118" s="25">
        <f t="shared" si="1"/>
        <v>2.7</v>
      </c>
      <c r="T118" s="25">
        <f t="shared" si="2"/>
        <v>2.7</v>
      </c>
      <c r="U118" s="6"/>
      <c r="V118" s="6"/>
      <c r="W118" s="6"/>
      <c r="X118" s="6"/>
      <c r="Y118" s="6"/>
      <c r="Z118" s="6"/>
      <c r="AA118" s="6"/>
      <c r="AB118" s="6"/>
    </row>
    <row r="119" spans="1:28" ht="15.75" customHeight="1" x14ac:dyDescent="0.3">
      <c r="A119" s="21">
        <v>111</v>
      </c>
      <c r="B119" s="22" t="s">
        <v>30</v>
      </c>
      <c r="C119" s="22">
        <v>10422081</v>
      </c>
      <c r="D119" s="22" t="s">
        <v>333</v>
      </c>
      <c r="E119" s="22" t="s">
        <v>334</v>
      </c>
      <c r="F119" s="21">
        <v>1</v>
      </c>
      <c r="G119" s="22" t="s">
        <v>335</v>
      </c>
      <c r="H119" s="22">
        <v>1</v>
      </c>
      <c r="I119" s="22"/>
      <c r="J119" s="23">
        <f>VLOOKUP(C119,Lab!$C$9:$I$126, 6, FALSE)</f>
        <v>10</v>
      </c>
      <c r="K119" s="23">
        <f>VLOOKUP(C119,Lab!$C$9:$I$126, 7, FALSE)</f>
        <v>10</v>
      </c>
      <c r="L119" s="6">
        <f>_xlfn.IFNA(VLOOKUP(C119, exam!$A$2:$C$115,3,FALSE),0)</f>
        <v>8.75</v>
      </c>
      <c r="M119" s="20">
        <v>10</v>
      </c>
      <c r="N119" s="20">
        <v>1</v>
      </c>
      <c r="O119" s="6"/>
      <c r="P119" s="6"/>
      <c r="Q119" s="6"/>
      <c r="R119" s="6">
        <f t="shared" si="0"/>
        <v>9.9</v>
      </c>
      <c r="S119" s="25">
        <f t="shared" si="1"/>
        <v>1.1000000000000001</v>
      </c>
      <c r="T119" s="25">
        <f t="shared" si="2"/>
        <v>1</v>
      </c>
      <c r="U119" s="6"/>
      <c r="V119" s="6"/>
      <c r="W119" s="6"/>
      <c r="X119" s="6"/>
      <c r="Y119" s="6"/>
      <c r="Z119" s="6"/>
      <c r="AA119" s="6"/>
      <c r="AB119" s="6"/>
    </row>
    <row r="120" spans="1:28" ht="15.75" customHeight="1" x14ac:dyDescent="0.3">
      <c r="A120" s="21">
        <v>112</v>
      </c>
      <c r="B120" s="22" t="s">
        <v>30</v>
      </c>
      <c r="C120" s="22">
        <v>10422082</v>
      </c>
      <c r="D120" s="22" t="s">
        <v>336</v>
      </c>
      <c r="E120" s="22" t="s">
        <v>334</v>
      </c>
      <c r="F120" s="21">
        <v>1</v>
      </c>
      <c r="G120" s="22" t="s">
        <v>337</v>
      </c>
      <c r="H120" s="22">
        <v>1.3</v>
      </c>
      <c r="I120" s="22"/>
      <c r="J120" s="23">
        <f>VLOOKUP(C120,Lab!$C$9:$I$126, 6, FALSE)</f>
        <v>10</v>
      </c>
      <c r="K120" s="23">
        <f>VLOOKUP(C120,Lab!$C$9:$I$126, 7, FALSE)</f>
        <v>10</v>
      </c>
      <c r="L120" s="6">
        <f>_xlfn.IFNA(VLOOKUP(C120, exam!$A$2:$C$115,3,FALSE),0)</f>
        <v>6.5</v>
      </c>
      <c r="M120" s="39">
        <v>10</v>
      </c>
      <c r="N120" s="39">
        <v>1</v>
      </c>
      <c r="O120" s="6"/>
      <c r="P120" s="6"/>
      <c r="Q120" s="6"/>
      <c r="R120" s="6">
        <f t="shared" si="0"/>
        <v>9</v>
      </c>
      <c r="S120" s="25">
        <f t="shared" si="1"/>
        <v>1.6</v>
      </c>
      <c r="T120" s="25">
        <f t="shared" si="2"/>
        <v>1.3</v>
      </c>
      <c r="U120" s="6"/>
      <c r="V120" s="6"/>
      <c r="W120" s="6"/>
      <c r="X120" s="6"/>
      <c r="Y120" s="6"/>
      <c r="Z120" s="6"/>
      <c r="AA120" s="6"/>
      <c r="AB120" s="6"/>
    </row>
    <row r="121" spans="1:28" ht="15.75" customHeight="1" x14ac:dyDescent="0.3">
      <c r="A121" s="21">
        <v>113</v>
      </c>
      <c r="B121" s="22" t="s">
        <v>30</v>
      </c>
      <c r="C121" s="22">
        <v>10422121</v>
      </c>
      <c r="D121" s="22" t="s">
        <v>338</v>
      </c>
      <c r="E121" s="22" t="s">
        <v>339</v>
      </c>
      <c r="F121" s="21">
        <v>1</v>
      </c>
      <c r="G121" s="22" t="s">
        <v>340</v>
      </c>
      <c r="H121" s="22">
        <v>2</v>
      </c>
      <c r="I121" s="22"/>
      <c r="J121" s="23">
        <f>VLOOKUP(C121,Lab!$C$9:$I$126, 6, FALSE)</f>
        <v>8</v>
      </c>
      <c r="K121" s="23">
        <f>VLOOKUP(C121,Lab!$C$9:$I$126, 7, FALSE)</f>
        <v>10</v>
      </c>
      <c r="L121" s="6">
        <f>_xlfn.IFNA(VLOOKUP(C121, exam!$A$2:$C$115,3,FALSE),0)</f>
        <v>5.75</v>
      </c>
      <c r="M121" s="20">
        <v>10</v>
      </c>
      <c r="N121" s="6"/>
      <c r="O121" s="6"/>
      <c r="P121" s="6"/>
      <c r="Q121" s="6"/>
      <c r="R121" s="6">
        <f t="shared" si="0"/>
        <v>8.1000000000000014</v>
      </c>
      <c r="S121" s="25">
        <f t="shared" si="1"/>
        <v>2.1</v>
      </c>
      <c r="T121" s="25">
        <f t="shared" si="2"/>
        <v>2</v>
      </c>
      <c r="U121" s="6"/>
      <c r="V121" s="6"/>
      <c r="W121" s="6"/>
      <c r="X121" s="6"/>
      <c r="Y121" s="6"/>
      <c r="Z121" s="6"/>
      <c r="AA121" s="6"/>
      <c r="AB121" s="6"/>
    </row>
    <row r="122" spans="1:28" ht="15.75" customHeight="1" x14ac:dyDescent="0.3">
      <c r="A122" s="21">
        <v>114</v>
      </c>
      <c r="B122" s="22" t="s">
        <v>30</v>
      </c>
      <c r="C122" s="22">
        <v>10422083</v>
      </c>
      <c r="D122" s="22" t="s">
        <v>341</v>
      </c>
      <c r="E122" s="22" t="s">
        <v>342</v>
      </c>
      <c r="F122" s="21">
        <v>1</v>
      </c>
      <c r="G122" s="22" t="s">
        <v>343</v>
      </c>
      <c r="H122" s="22">
        <v>2.2999999999999998</v>
      </c>
      <c r="I122" s="22"/>
      <c r="J122" s="23">
        <f>VLOOKUP(C122,Lab!$C$9:$I$126, 6, FALSE)</f>
        <v>0</v>
      </c>
      <c r="K122" s="23">
        <f>VLOOKUP(C122,Lab!$C$9:$I$126, 7, FALSE)</f>
        <v>10</v>
      </c>
      <c r="L122" s="6">
        <f>_xlfn.IFNA(VLOOKUP(C122, exam!$A$2:$C$115,3,FALSE),0)</f>
        <v>6</v>
      </c>
      <c r="M122" s="20">
        <v>10</v>
      </c>
      <c r="N122" s="6"/>
      <c r="O122" s="6"/>
      <c r="P122" s="6"/>
      <c r="Q122" s="6"/>
      <c r="R122" s="6">
        <f t="shared" si="0"/>
        <v>7.4</v>
      </c>
      <c r="S122" s="25">
        <f t="shared" si="1"/>
        <v>2.6</v>
      </c>
      <c r="T122" s="25">
        <f t="shared" si="2"/>
        <v>2.2999999999999998</v>
      </c>
      <c r="U122" s="6"/>
      <c r="V122" s="6"/>
      <c r="W122" s="6"/>
      <c r="X122" s="6"/>
      <c r="Y122" s="6"/>
      <c r="Z122" s="6"/>
      <c r="AA122" s="6"/>
      <c r="AB122" s="6"/>
    </row>
    <row r="123" spans="1:28" ht="15.75" customHeight="1" x14ac:dyDescent="0.3">
      <c r="A123" s="21">
        <v>115</v>
      </c>
      <c r="B123" s="22" t="s">
        <v>30</v>
      </c>
      <c r="C123" s="22">
        <v>10422084</v>
      </c>
      <c r="D123" s="22" t="s">
        <v>344</v>
      </c>
      <c r="E123" s="22" t="s">
        <v>345</v>
      </c>
      <c r="F123" s="21">
        <v>1</v>
      </c>
      <c r="G123" s="22" t="s">
        <v>346</v>
      </c>
      <c r="H123" s="22">
        <v>1.7</v>
      </c>
      <c r="I123" s="22"/>
      <c r="J123" s="23">
        <f>VLOOKUP(C123,Lab!$C$9:$I$126, 6, FALSE)</f>
        <v>10</v>
      </c>
      <c r="K123" s="23">
        <f>VLOOKUP(C123,Lab!$C$9:$I$126, 7, FALSE)</f>
        <v>10</v>
      </c>
      <c r="L123" s="6">
        <f>_xlfn.IFNA(VLOOKUP(C123, exam!$A$2:$C$115,3,FALSE),0)</f>
        <v>6.75</v>
      </c>
      <c r="M123" s="20">
        <v>10</v>
      </c>
      <c r="N123" s="6"/>
      <c r="O123" s="6"/>
      <c r="P123" s="6"/>
      <c r="Q123" s="6"/>
      <c r="R123" s="6">
        <f t="shared" si="0"/>
        <v>8.6999999999999993</v>
      </c>
      <c r="S123" s="25">
        <f t="shared" si="1"/>
        <v>1.8</v>
      </c>
      <c r="T123" s="25">
        <f t="shared" si="2"/>
        <v>1.7</v>
      </c>
      <c r="U123" s="6"/>
      <c r="V123" s="6"/>
      <c r="W123" s="6"/>
      <c r="X123" s="6"/>
      <c r="Y123" s="6"/>
      <c r="Z123" s="6"/>
      <c r="AA123" s="6"/>
      <c r="AB123" s="6"/>
    </row>
    <row r="124" spans="1:28" ht="15.75" customHeight="1" x14ac:dyDescent="0.3">
      <c r="A124" s="21">
        <v>116</v>
      </c>
      <c r="B124" s="22" t="s">
        <v>30</v>
      </c>
      <c r="C124" s="22">
        <v>10422122</v>
      </c>
      <c r="D124" s="22" t="s">
        <v>347</v>
      </c>
      <c r="E124" s="22" t="s">
        <v>28</v>
      </c>
      <c r="F124" s="21">
        <v>1</v>
      </c>
      <c r="G124" s="22" t="s">
        <v>348</v>
      </c>
      <c r="H124" s="22">
        <v>1.3</v>
      </c>
      <c r="I124" s="22"/>
      <c r="J124" s="23">
        <f>VLOOKUP(C124,Lab!$C$9:$I$126, 6, FALSE)</f>
        <v>10</v>
      </c>
      <c r="K124" s="23">
        <f>VLOOKUP(C124,Lab!$C$9:$I$126, 7, FALSE)</f>
        <v>10</v>
      </c>
      <c r="L124" s="6">
        <f>_xlfn.IFNA(VLOOKUP(C124, exam!$A$2:$C$115,3,FALSE),0)</f>
        <v>8.25</v>
      </c>
      <c r="M124" s="20">
        <v>10</v>
      </c>
      <c r="N124" s="6"/>
      <c r="O124" s="6"/>
      <c r="P124" s="6"/>
      <c r="Q124" s="6"/>
      <c r="R124" s="6">
        <f t="shared" si="0"/>
        <v>9.3000000000000007</v>
      </c>
      <c r="S124" s="25">
        <f t="shared" si="1"/>
        <v>1.4</v>
      </c>
      <c r="T124" s="25">
        <f t="shared" si="2"/>
        <v>1.3</v>
      </c>
      <c r="U124" s="6"/>
      <c r="V124" s="6"/>
      <c r="W124" s="6"/>
      <c r="X124" s="6"/>
      <c r="Y124" s="6"/>
      <c r="Z124" s="6"/>
      <c r="AA124" s="6"/>
      <c r="AB124" s="6"/>
    </row>
    <row r="125" spans="1:28" ht="15.75" customHeight="1" x14ac:dyDescent="0.3">
      <c r="A125" s="21">
        <v>117</v>
      </c>
      <c r="B125" s="22" t="s">
        <v>30</v>
      </c>
      <c r="C125" s="22">
        <v>10421067</v>
      </c>
      <c r="D125" s="22" t="s">
        <v>349</v>
      </c>
      <c r="E125" s="22" t="s">
        <v>350</v>
      </c>
      <c r="F125" s="21">
        <v>1</v>
      </c>
      <c r="G125" s="22" t="s">
        <v>351</v>
      </c>
      <c r="H125" s="22">
        <v>2</v>
      </c>
      <c r="I125" s="22"/>
      <c r="J125" s="23">
        <f>VLOOKUP(C125,Lab!$C$9:$I$126, 6, FALSE)</f>
        <v>10</v>
      </c>
      <c r="K125" s="23">
        <f>VLOOKUP(C125,Lab!$C$9:$I$126, 7, FALSE)</f>
        <v>10</v>
      </c>
      <c r="L125" s="6">
        <f>_xlfn.IFNA(VLOOKUP(C125, exam!$A$2:$C$115,3,FALSE),0)</f>
        <v>5</v>
      </c>
      <c r="M125" s="20">
        <v>9</v>
      </c>
      <c r="N125" s="20">
        <v>1</v>
      </c>
      <c r="O125" s="6"/>
      <c r="P125" s="6"/>
      <c r="Q125" s="6"/>
      <c r="R125" s="6">
        <f t="shared" si="0"/>
        <v>8</v>
      </c>
      <c r="S125" s="25">
        <f t="shared" si="1"/>
        <v>2.2000000000000002</v>
      </c>
      <c r="T125" s="25">
        <f t="shared" si="2"/>
        <v>2</v>
      </c>
      <c r="U125" s="6"/>
      <c r="V125" s="6"/>
      <c r="W125" s="6"/>
      <c r="X125" s="6"/>
      <c r="Y125" s="6"/>
      <c r="Z125" s="6"/>
      <c r="AA125" s="6"/>
      <c r="AB125" s="6"/>
    </row>
    <row r="126" spans="1:28" ht="15.75" customHeight="1" x14ac:dyDescent="0.3">
      <c r="A126" s="21">
        <v>118</v>
      </c>
      <c r="B126" s="22" t="s">
        <v>30</v>
      </c>
      <c r="C126" s="22">
        <v>10422085</v>
      </c>
      <c r="D126" s="22" t="s">
        <v>352</v>
      </c>
      <c r="E126" s="22" t="s">
        <v>353</v>
      </c>
      <c r="F126" s="21">
        <v>1</v>
      </c>
      <c r="G126" s="22" t="s">
        <v>354</v>
      </c>
      <c r="H126" s="22">
        <v>1.7</v>
      </c>
      <c r="I126" s="22"/>
      <c r="J126" s="23">
        <f>VLOOKUP(C126,Lab!$C$9:$I$126, 6, FALSE)</f>
        <v>10</v>
      </c>
      <c r="K126" s="23">
        <f>VLOOKUP(C126,Lab!$C$9:$I$126, 7, FALSE)</f>
        <v>10</v>
      </c>
      <c r="L126" s="6">
        <f>_xlfn.IFNA(VLOOKUP(C126, exam!$A$2:$C$115,3,FALSE),0)</f>
        <v>9</v>
      </c>
      <c r="M126" s="20">
        <v>8</v>
      </c>
      <c r="N126" s="6"/>
      <c r="O126" s="20" t="s">
        <v>355</v>
      </c>
      <c r="P126" s="6"/>
      <c r="Q126" s="6"/>
      <c r="R126" s="6">
        <f t="shared" si="0"/>
        <v>8.8000000000000007</v>
      </c>
      <c r="S126" s="25">
        <f t="shared" si="1"/>
        <v>1.7</v>
      </c>
      <c r="T126" s="25">
        <f t="shared" si="2"/>
        <v>1.7</v>
      </c>
      <c r="U126" s="6"/>
      <c r="V126" s="6"/>
      <c r="W126" s="6"/>
      <c r="X126" s="6"/>
      <c r="Y126" s="6"/>
      <c r="Z126" s="6"/>
      <c r="AA126" s="6"/>
      <c r="AB126" s="6"/>
    </row>
    <row r="127" spans="1:28" ht="15.75" customHeight="1" x14ac:dyDescent="0.3">
      <c r="A127" s="41"/>
      <c r="B127" s="6"/>
      <c r="C127" s="6"/>
      <c r="D127" s="6"/>
      <c r="E127" s="6"/>
      <c r="F127" s="41"/>
      <c r="G127" s="6"/>
      <c r="H127" s="4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75" customHeight="1" x14ac:dyDescent="0.3">
      <c r="A128" s="41"/>
      <c r="B128" s="6"/>
      <c r="C128" s="6"/>
      <c r="D128" s="6"/>
      <c r="E128" s="6"/>
      <c r="F128" s="41"/>
      <c r="G128" s="43" t="s">
        <v>356</v>
      </c>
      <c r="H128" s="4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 x14ac:dyDescent="0.3">
      <c r="A129" s="41"/>
      <c r="B129" s="6"/>
      <c r="C129" s="6"/>
      <c r="D129" s="6"/>
      <c r="E129" s="6"/>
      <c r="F129" s="41"/>
      <c r="G129" s="6"/>
      <c r="H129" s="4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 x14ac:dyDescent="0.3">
      <c r="A130" s="41"/>
      <c r="B130" s="6"/>
      <c r="C130" s="6"/>
      <c r="D130" s="6"/>
      <c r="E130" s="6"/>
      <c r="F130" s="41"/>
      <c r="G130" s="6"/>
      <c r="H130" s="4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 x14ac:dyDescent="0.3">
      <c r="A131" s="41"/>
      <c r="B131" s="6"/>
      <c r="C131" s="6"/>
      <c r="D131" s="6"/>
      <c r="E131" s="6"/>
      <c r="F131" s="41"/>
      <c r="G131" s="6"/>
      <c r="H131" s="4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customHeight="1" x14ac:dyDescent="0.3">
      <c r="A132" s="41"/>
      <c r="B132" s="6"/>
      <c r="C132" s="6"/>
      <c r="D132" s="6"/>
      <c r="E132" s="6"/>
      <c r="F132" s="41"/>
      <c r="G132" s="6"/>
      <c r="H132" s="4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customHeight="1" x14ac:dyDescent="0.3">
      <c r="A133" s="41"/>
      <c r="B133" s="6"/>
      <c r="C133" s="6"/>
      <c r="D133" s="6"/>
      <c r="E133" s="6"/>
      <c r="F133" s="41"/>
      <c r="G133" s="6"/>
      <c r="H133" s="4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 x14ac:dyDescent="0.3">
      <c r="A134" s="41"/>
      <c r="B134" s="6"/>
      <c r="C134" s="6"/>
      <c r="D134" s="6"/>
      <c r="E134" s="6"/>
      <c r="F134" s="41"/>
      <c r="G134" s="6"/>
      <c r="H134" s="4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 x14ac:dyDescent="0.3">
      <c r="A135" s="41"/>
      <c r="B135" s="6"/>
      <c r="C135" s="6"/>
      <c r="D135" s="6"/>
      <c r="E135" s="6"/>
      <c r="F135" s="41"/>
      <c r="G135" s="6"/>
      <c r="H135" s="4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 x14ac:dyDescent="0.3">
      <c r="A136" s="41"/>
      <c r="B136" s="6"/>
      <c r="C136" s="6"/>
      <c r="D136" s="6"/>
      <c r="E136" s="6"/>
      <c r="F136" s="41"/>
      <c r="G136" s="6"/>
      <c r="H136" s="4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 x14ac:dyDescent="0.3">
      <c r="A137" s="41"/>
      <c r="B137" s="6"/>
      <c r="C137" s="6"/>
      <c r="D137" s="6"/>
      <c r="E137" s="6"/>
      <c r="F137" s="41"/>
      <c r="G137" s="6"/>
      <c r="H137" s="4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 x14ac:dyDescent="0.3">
      <c r="A138" s="41"/>
      <c r="B138" s="6"/>
      <c r="C138" s="6"/>
      <c r="D138" s="6"/>
      <c r="E138" s="6"/>
      <c r="F138" s="41"/>
      <c r="G138" s="6"/>
      <c r="H138" s="4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 x14ac:dyDescent="0.3">
      <c r="A139" s="41"/>
      <c r="B139" s="6"/>
      <c r="C139" s="6"/>
      <c r="D139" s="6"/>
      <c r="E139" s="6"/>
      <c r="F139" s="41"/>
      <c r="G139" s="6"/>
      <c r="H139" s="4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 x14ac:dyDescent="0.3">
      <c r="A140" s="41"/>
      <c r="B140" s="6"/>
      <c r="C140" s="6"/>
      <c r="D140" s="6"/>
      <c r="E140" s="6"/>
      <c r="F140" s="41"/>
      <c r="G140" s="6"/>
      <c r="H140" s="4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 x14ac:dyDescent="0.3">
      <c r="A141" s="41"/>
      <c r="B141" s="6"/>
      <c r="C141" s="6"/>
      <c r="D141" s="6"/>
      <c r="E141" s="6"/>
      <c r="F141" s="41"/>
      <c r="G141" s="6"/>
      <c r="H141" s="4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 x14ac:dyDescent="0.3">
      <c r="A142" s="41"/>
      <c r="B142" s="6"/>
      <c r="C142" s="6"/>
      <c r="D142" s="6"/>
      <c r="E142" s="6"/>
      <c r="F142" s="41"/>
      <c r="G142" s="6"/>
      <c r="H142" s="4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 x14ac:dyDescent="0.3">
      <c r="A143" s="41"/>
      <c r="B143" s="6"/>
      <c r="C143" s="6"/>
      <c r="D143" s="6"/>
      <c r="E143" s="6"/>
      <c r="F143" s="41"/>
      <c r="G143" s="6"/>
      <c r="H143" s="4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 x14ac:dyDescent="0.3">
      <c r="A144" s="41"/>
      <c r="B144" s="6"/>
      <c r="C144" s="6"/>
      <c r="D144" s="6"/>
      <c r="E144" s="6"/>
      <c r="F144" s="41"/>
      <c r="G144" s="6"/>
      <c r="H144" s="4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 x14ac:dyDescent="0.3">
      <c r="A145" s="41"/>
      <c r="B145" s="6"/>
      <c r="C145" s="6"/>
      <c r="D145" s="6"/>
      <c r="E145" s="6"/>
      <c r="F145" s="41"/>
      <c r="G145" s="6"/>
      <c r="H145" s="4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 x14ac:dyDescent="0.3">
      <c r="A146" s="41"/>
      <c r="B146" s="6"/>
      <c r="C146" s="6"/>
      <c r="D146" s="6"/>
      <c r="E146" s="6"/>
      <c r="F146" s="41"/>
      <c r="G146" s="6"/>
      <c r="H146" s="4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 x14ac:dyDescent="0.3">
      <c r="A147" s="41"/>
      <c r="B147" s="6"/>
      <c r="C147" s="6"/>
      <c r="D147" s="6"/>
      <c r="E147" s="6"/>
      <c r="F147" s="41"/>
      <c r="G147" s="6"/>
      <c r="H147" s="4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 x14ac:dyDescent="0.3">
      <c r="A148" s="41"/>
      <c r="B148" s="6"/>
      <c r="C148" s="6"/>
      <c r="D148" s="6"/>
      <c r="E148" s="6"/>
      <c r="F148" s="41"/>
      <c r="G148" s="6"/>
      <c r="H148" s="4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 x14ac:dyDescent="0.3">
      <c r="A149" s="41"/>
      <c r="B149" s="6"/>
      <c r="C149" s="6"/>
      <c r="D149" s="6"/>
      <c r="E149" s="6"/>
      <c r="F149" s="41"/>
      <c r="G149" s="6"/>
      <c r="H149" s="4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 x14ac:dyDescent="0.3">
      <c r="A150" s="41"/>
      <c r="B150" s="6"/>
      <c r="C150" s="6"/>
      <c r="D150" s="6"/>
      <c r="E150" s="6"/>
      <c r="F150" s="41"/>
      <c r="G150" s="6"/>
      <c r="H150" s="4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 x14ac:dyDescent="0.3">
      <c r="A151" s="41"/>
      <c r="B151" s="6"/>
      <c r="C151" s="6"/>
      <c r="D151" s="6"/>
      <c r="E151" s="6"/>
      <c r="F151" s="41"/>
      <c r="G151" s="6"/>
      <c r="H151" s="4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 x14ac:dyDescent="0.3">
      <c r="A152" s="41"/>
      <c r="B152" s="6"/>
      <c r="C152" s="6"/>
      <c r="D152" s="6"/>
      <c r="E152" s="6"/>
      <c r="F152" s="41"/>
      <c r="G152" s="6"/>
      <c r="H152" s="4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 x14ac:dyDescent="0.3">
      <c r="A153" s="41"/>
      <c r="B153" s="6"/>
      <c r="C153" s="6"/>
      <c r="D153" s="6"/>
      <c r="E153" s="6"/>
      <c r="F153" s="41"/>
      <c r="G153" s="6"/>
      <c r="H153" s="4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 x14ac:dyDescent="0.3">
      <c r="A154" s="41"/>
      <c r="B154" s="6"/>
      <c r="C154" s="6"/>
      <c r="D154" s="6"/>
      <c r="E154" s="6"/>
      <c r="F154" s="41"/>
      <c r="G154" s="6"/>
      <c r="H154" s="4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 x14ac:dyDescent="0.3">
      <c r="A155" s="41"/>
      <c r="B155" s="6"/>
      <c r="C155" s="6"/>
      <c r="D155" s="6"/>
      <c r="E155" s="6"/>
      <c r="F155" s="41"/>
      <c r="G155" s="6"/>
      <c r="H155" s="4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 x14ac:dyDescent="0.3">
      <c r="A156" s="41"/>
      <c r="B156" s="6"/>
      <c r="C156" s="6"/>
      <c r="D156" s="6"/>
      <c r="E156" s="6"/>
      <c r="F156" s="41"/>
      <c r="G156" s="6"/>
      <c r="H156" s="4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 x14ac:dyDescent="0.3">
      <c r="A157" s="41"/>
      <c r="B157" s="6"/>
      <c r="C157" s="6"/>
      <c r="D157" s="6"/>
      <c r="E157" s="6"/>
      <c r="F157" s="41"/>
      <c r="G157" s="6"/>
      <c r="H157" s="4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 x14ac:dyDescent="0.3">
      <c r="A158" s="41"/>
      <c r="B158" s="6"/>
      <c r="C158" s="6"/>
      <c r="D158" s="6"/>
      <c r="E158" s="6"/>
      <c r="F158" s="41"/>
      <c r="G158" s="6"/>
      <c r="H158" s="4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 x14ac:dyDescent="0.3">
      <c r="A159" s="41"/>
      <c r="B159" s="6"/>
      <c r="C159" s="6"/>
      <c r="D159" s="6"/>
      <c r="E159" s="6"/>
      <c r="F159" s="41"/>
      <c r="G159" s="6"/>
      <c r="H159" s="4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 x14ac:dyDescent="0.3">
      <c r="A160" s="41"/>
      <c r="B160" s="6"/>
      <c r="C160" s="6"/>
      <c r="D160" s="6"/>
      <c r="E160" s="6"/>
      <c r="F160" s="41"/>
      <c r="G160" s="6"/>
      <c r="H160" s="4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 x14ac:dyDescent="0.3">
      <c r="A161" s="41"/>
      <c r="B161" s="6"/>
      <c r="C161" s="6"/>
      <c r="D161" s="6"/>
      <c r="E161" s="6"/>
      <c r="F161" s="41"/>
      <c r="G161" s="6"/>
      <c r="H161" s="4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 x14ac:dyDescent="0.3">
      <c r="A162" s="41"/>
      <c r="B162" s="6"/>
      <c r="C162" s="6"/>
      <c r="D162" s="6"/>
      <c r="E162" s="6"/>
      <c r="F162" s="41"/>
      <c r="G162" s="6"/>
      <c r="H162" s="4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 x14ac:dyDescent="0.3">
      <c r="A163" s="41"/>
      <c r="B163" s="6"/>
      <c r="C163" s="6"/>
      <c r="D163" s="6"/>
      <c r="E163" s="6"/>
      <c r="F163" s="41"/>
      <c r="G163" s="6"/>
      <c r="H163" s="4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 x14ac:dyDescent="0.3">
      <c r="A164" s="41"/>
      <c r="B164" s="6"/>
      <c r="C164" s="6"/>
      <c r="D164" s="6"/>
      <c r="E164" s="6"/>
      <c r="F164" s="41"/>
      <c r="G164" s="6"/>
      <c r="H164" s="4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 x14ac:dyDescent="0.3">
      <c r="A165" s="41"/>
      <c r="B165" s="6"/>
      <c r="C165" s="6"/>
      <c r="D165" s="6"/>
      <c r="E165" s="6"/>
      <c r="F165" s="41"/>
      <c r="G165" s="6"/>
      <c r="H165" s="4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 x14ac:dyDescent="0.3">
      <c r="A166" s="41"/>
      <c r="B166" s="6"/>
      <c r="C166" s="6"/>
      <c r="D166" s="6"/>
      <c r="E166" s="6"/>
      <c r="F166" s="41"/>
      <c r="G166" s="6"/>
      <c r="H166" s="4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 x14ac:dyDescent="0.3">
      <c r="A167" s="41"/>
      <c r="B167" s="6"/>
      <c r="C167" s="6"/>
      <c r="D167" s="6"/>
      <c r="E167" s="6"/>
      <c r="F167" s="41"/>
      <c r="G167" s="6"/>
      <c r="H167" s="4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 x14ac:dyDescent="0.3">
      <c r="A168" s="41"/>
      <c r="B168" s="6"/>
      <c r="C168" s="6"/>
      <c r="D168" s="6"/>
      <c r="E168" s="6"/>
      <c r="F168" s="41"/>
      <c r="G168" s="6"/>
      <c r="H168" s="4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 x14ac:dyDescent="0.3">
      <c r="A169" s="41"/>
      <c r="B169" s="6"/>
      <c r="C169" s="6"/>
      <c r="D169" s="6"/>
      <c r="E169" s="6"/>
      <c r="F169" s="41"/>
      <c r="G169" s="6"/>
      <c r="H169" s="4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 x14ac:dyDescent="0.3">
      <c r="A170" s="41"/>
      <c r="B170" s="6"/>
      <c r="C170" s="6"/>
      <c r="D170" s="6"/>
      <c r="E170" s="6"/>
      <c r="F170" s="41"/>
      <c r="G170" s="6"/>
      <c r="H170" s="4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 x14ac:dyDescent="0.3">
      <c r="A171" s="41"/>
      <c r="B171" s="6"/>
      <c r="C171" s="6"/>
      <c r="D171" s="6"/>
      <c r="E171" s="6"/>
      <c r="F171" s="41"/>
      <c r="G171" s="6"/>
      <c r="H171" s="4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 x14ac:dyDescent="0.3">
      <c r="A172" s="41"/>
      <c r="B172" s="6"/>
      <c r="C172" s="6"/>
      <c r="D172" s="6"/>
      <c r="E172" s="6"/>
      <c r="F172" s="41"/>
      <c r="G172" s="6"/>
      <c r="H172" s="4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 x14ac:dyDescent="0.3">
      <c r="A173" s="41"/>
      <c r="B173" s="6"/>
      <c r="C173" s="6"/>
      <c r="D173" s="6"/>
      <c r="E173" s="6"/>
      <c r="F173" s="41"/>
      <c r="G173" s="6"/>
      <c r="H173" s="4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 x14ac:dyDescent="0.3">
      <c r="A174" s="41"/>
      <c r="B174" s="6"/>
      <c r="C174" s="6"/>
      <c r="D174" s="6"/>
      <c r="E174" s="6"/>
      <c r="F174" s="41"/>
      <c r="G174" s="6"/>
      <c r="H174" s="4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 x14ac:dyDescent="0.3">
      <c r="A175" s="41"/>
      <c r="B175" s="6"/>
      <c r="C175" s="6"/>
      <c r="D175" s="6"/>
      <c r="E175" s="6"/>
      <c r="F175" s="41"/>
      <c r="G175" s="6"/>
      <c r="H175" s="4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 x14ac:dyDescent="0.3">
      <c r="A176" s="41"/>
      <c r="B176" s="6"/>
      <c r="C176" s="6"/>
      <c r="D176" s="6"/>
      <c r="E176" s="6"/>
      <c r="F176" s="41"/>
      <c r="G176" s="6"/>
      <c r="H176" s="4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 x14ac:dyDescent="0.3">
      <c r="A177" s="41"/>
      <c r="B177" s="6"/>
      <c r="C177" s="6"/>
      <c r="D177" s="6"/>
      <c r="E177" s="6"/>
      <c r="F177" s="41"/>
      <c r="G177" s="6"/>
      <c r="H177" s="4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 x14ac:dyDescent="0.3">
      <c r="A178" s="41"/>
      <c r="B178" s="6"/>
      <c r="C178" s="6"/>
      <c r="D178" s="6"/>
      <c r="E178" s="6"/>
      <c r="F178" s="41"/>
      <c r="G178" s="6"/>
      <c r="H178" s="4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 x14ac:dyDescent="0.3">
      <c r="A179" s="41"/>
      <c r="B179" s="6"/>
      <c r="C179" s="6"/>
      <c r="D179" s="6"/>
      <c r="E179" s="6"/>
      <c r="F179" s="41"/>
      <c r="G179" s="6"/>
      <c r="H179" s="4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 x14ac:dyDescent="0.3">
      <c r="A180" s="41"/>
      <c r="B180" s="6"/>
      <c r="C180" s="6"/>
      <c r="D180" s="6"/>
      <c r="E180" s="6"/>
      <c r="F180" s="41"/>
      <c r="G180" s="6"/>
      <c r="H180" s="4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75" customHeight="1" x14ac:dyDescent="0.3">
      <c r="A181" s="41"/>
      <c r="B181" s="6"/>
      <c r="C181" s="6"/>
      <c r="D181" s="6"/>
      <c r="E181" s="6"/>
      <c r="F181" s="41"/>
      <c r="G181" s="6"/>
      <c r="H181" s="4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75" customHeight="1" x14ac:dyDescent="0.3">
      <c r="A182" s="41"/>
      <c r="B182" s="6"/>
      <c r="C182" s="6"/>
      <c r="D182" s="6"/>
      <c r="E182" s="6"/>
      <c r="F182" s="41"/>
      <c r="G182" s="6"/>
      <c r="H182" s="4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75" customHeight="1" x14ac:dyDescent="0.3">
      <c r="A183" s="41"/>
      <c r="B183" s="6"/>
      <c r="C183" s="6"/>
      <c r="D183" s="6"/>
      <c r="E183" s="6"/>
      <c r="F183" s="41"/>
      <c r="G183" s="6"/>
      <c r="H183" s="4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75" customHeight="1" x14ac:dyDescent="0.3">
      <c r="A184" s="41"/>
      <c r="B184" s="6"/>
      <c r="C184" s="6"/>
      <c r="D184" s="6"/>
      <c r="E184" s="6"/>
      <c r="F184" s="41"/>
      <c r="G184" s="6"/>
      <c r="H184" s="4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 x14ac:dyDescent="0.3">
      <c r="A185" s="41"/>
      <c r="B185" s="6"/>
      <c r="C185" s="6"/>
      <c r="D185" s="6"/>
      <c r="E185" s="6"/>
      <c r="F185" s="41"/>
      <c r="G185" s="6"/>
      <c r="H185" s="4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75" customHeight="1" x14ac:dyDescent="0.3">
      <c r="A186" s="41"/>
      <c r="B186" s="6"/>
      <c r="C186" s="6"/>
      <c r="D186" s="6"/>
      <c r="E186" s="6"/>
      <c r="F186" s="41"/>
      <c r="G186" s="6"/>
      <c r="H186" s="4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75" customHeight="1" x14ac:dyDescent="0.3">
      <c r="A187" s="41"/>
      <c r="B187" s="6"/>
      <c r="C187" s="6"/>
      <c r="D187" s="6"/>
      <c r="E187" s="6"/>
      <c r="F187" s="41"/>
      <c r="G187" s="6"/>
      <c r="H187" s="4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.75" customHeight="1" x14ac:dyDescent="0.3">
      <c r="A188" s="41"/>
      <c r="B188" s="6"/>
      <c r="C188" s="6"/>
      <c r="D188" s="6"/>
      <c r="E188" s="6"/>
      <c r="F188" s="41"/>
      <c r="G188" s="6"/>
      <c r="H188" s="4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75" customHeight="1" x14ac:dyDescent="0.3">
      <c r="A189" s="41"/>
      <c r="B189" s="6"/>
      <c r="C189" s="6"/>
      <c r="D189" s="6"/>
      <c r="E189" s="6"/>
      <c r="F189" s="41"/>
      <c r="G189" s="6"/>
      <c r="H189" s="4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 x14ac:dyDescent="0.3">
      <c r="A190" s="41"/>
      <c r="B190" s="6"/>
      <c r="C190" s="6"/>
      <c r="D190" s="6"/>
      <c r="E190" s="6"/>
      <c r="F190" s="41"/>
      <c r="G190" s="6"/>
      <c r="H190" s="4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.75" customHeight="1" x14ac:dyDescent="0.3">
      <c r="A191" s="41"/>
      <c r="B191" s="6"/>
      <c r="C191" s="6"/>
      <c r="D191" s="6"/>
      <c r="E191" s="6"/>
      <c r="F191" s="41"/>
      <c r="G191" s="6"/>
      <c r="H191" s="4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75" customHeight="1" x14ac:dyDescent="0.3">
      <c r="A192" s="41"/>
      <c r="B192" s="6"/>
      <c r="C192" s="6"/>
      <c r="D192" s="6"/>
      <c r="E192" s="6"/>
      <c r="F192" s="41"/>
      <c r="G192" s="6"/>
      <c r="H192" s="4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.75" customHeight="1" x14ac:dyDescent="0.3">
      <c r="A193" s="41"/>
      <c r="B193" s="6"/>
      <c r="C193" s="6"/>
      <c r="D193" s="6"/>
      <c r="E193" s="6"/>
      <c r="F193" s="41"/>
      <c r="G193" s="6"/>
      <c r="H193" s="4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75" customHeight="1" x14ac:dyDescent="0.3">
      <c r="A194" s="41"/>
      <c r="B194" s="6"/>
      <c r="C194" s="6"/>
      <c r="D194" s="6"/>
      <c r="E194" s="6"/>
      <c r="F194" s="41"/>
      <c r="G194" s="6"/>
      <c r="H194" s="4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 x14ac:dyDescent="0.3">
      <c r="A195" s="41"/>
      <c r="B195" s="6"/>
      <c r="C195" s="6"/>
      <c r="D195" s="6"/>
      <c r="E195" s="6"/>
      <c r="F195" s="41"/>
      <c r="G195" s="6"/>
      <c r="H195" s="4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.75" customHeight="1" x14ac:dyDescent="0.3">
      <c r="A196" s="41"/>
      <c r="B196" s="6"/>
      <c r="C196" s="6"/>
      <c r="D196" s="6"/>
      <c r="E196" s="6"/>
      <c r="F196" s="41"/>
      <c r="G196" s="6"/>
      <c r="H196" s="4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75" customHeight="1" x14ac:dyDescent="0.3">
      <c r="A197" s="41"/>
      <c r="B197" s="6"/>
      <c r="C197" s="6"/>
      <c r="D197" s="6"/>
      <c r="E197" s="6"/>
      <c r="F197" s="41"/>
      <c r="G197" s="6"/>
      <c r="H197" s="4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.75" customHeight="1" x14ac:dyDescent="0.3">
      <c r="A198" s="41"/>
      <c r="B198" s="6"/>
      <c r="C198" s="6"/>
      <c r="D198" s="6"/>
      <c r="E198" s="6"/>
      <c r="F198" s="41"/>
      <c r="G198" s="6"/>
      <c r="H198" s="4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75" customHeight="1" x14ac:dyDescent="0.3">
      <c r="A199" s="41"/>
      <c r="B199" s="6"/>
      <c r="C199" s="6"/>
      <c r="D199" s="6"/>
      <c r="E199" s="6"/>
      <c r="F199" s="41"/>
      <c r="G199" s="6"/>
      <c r="H199" s="4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75" customHeight="1" x14ac:dyDescent="0.3">
      <c r="A200" s="41"/>
      <c r="B200" s="6"/>
      <c r="C200" s="6"/>
      <c r="D200" s="6"/>
      <c r="E200" s="6"/>
      <c r="F200" s="41"/>
      <c r="G200" s="6"/>
      <c r="H200" s="4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.75" customHeight="1" x14ac:dyDescent="0.3">
      <c r="A201" s="41"/>
      <c r="B201" s="6"/>
      <c r="C201" s="6"/>
      <c r="D201" s="6"/>
      <c r="E201" s="6"/>
      <c r="F201" s="41"/>
      <c r="G201" s="6"/>
      <c r="H201" s="4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75" customHeight="1" x14ac:dyDescent="0.3">
      <c r="A202" s="41"/>
      <c r="B202" s="6"/>
      <c r="C202" s="6"/>
      <c r="D202" s="6"/>
      <c r="E202" s="6"/>
      <c r="F202" s="41"/>
      <c r="G202" s="6"/>
      <c r="H202" s="4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.75" customHeight="1" x14ac:dyDescent="0.3">
      <c r="A203" s="41"/>
      <c r="B203" s="6"/>
      <c r="C203" s="6"/>
      <c r="D203" s="6"/>
      <c r="E203" s="6"/>
      <c r="F203" s="41"/>
      <c r="G203" s="6"/>
      <c r="H203" s="4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75" customHeight="1" x14ac:dyDescent="0.3">
      <c r="A204" s="41"/>
      <c r="B204" s="6"/>
      <c r="C204" s="6"/>
      <c r="D204" s="6"/>
      <c r="E204" s="6"/>
      <c r="F204" s="41"/>
      <c r="G204" s="6"/>
      <c r="H204" s="4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75" customHeight="1" x14ac:dyDescent="0.3">
      <c r="A205" s="41"/>
      <c r="B205" s="6"/>
      <c r="C205" s="6"/>
      <c r="D205" s="6"/>
      <c r="E205" s="6"/>
      <c r="F205" s="41"/>
      <c r="G205" s="6"/>
      <c r="H205" s="4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.75" customHeight="1" x14ac:dyDescent="0.3">
      <c r="A206" s="41"/>
      <c r="B206" s="6"/>
      <c r="C206" s="6"/>
      <c r="D206" s="6"/>
      <c r="E206" s="6"/>
      <c r="F206" s="41"/>
      <c r="G206" s="6"/>
      <c r="H206" s="4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customHeight="1" x14ac:dyDescent="0.3">
      <c r="A207" s="41"/>
      <c r="B207" s="6"/>
      <c r="C207" s="6"/>
      <c r="D207" s="6"/>
      <c r="E207" s="6"/>
      <c r="F207" s="41"/>
      <c r="G207" s="6"/>
      <c r="H207" s="4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.75" customHeight="1" x14ac:dyDescent="0.3">
      <c r="A208" s="41"/>
      <c r="B208" s="6"/>
      <c r="C208" s="6"/>
      <c r="D208" s="6"/>
      <c r="E208" s="6"/>
      <c r="F208" s="41"/>
      <c r="G208" s="6"/>
      <c r="H208" s="4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75" customHeight="1" x14ac:dyDescent="0.3">
      <c r="A209" s="41"/>
      <c r="B209" s="6"/>
      <c r="C209" s="6"/>
      <c r="D209" s="6"/>
      <c r="E209" s="6"/>
      <c r="F209" s="41"/>
      <c r="G209" s="6"/>
      <c r="H209" s="4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75" customHeight="1" x14ac:dyDescent="0.3">
      <c r="A210" s="41"/>
      <c r="B210" s="6"/>
      <c r="C210" s="6"/>
      <c r="D210" s="6"/>
      <c r="E210" s="6"/>
      <c r="F210" s="41"/>
      <c r="G210" s="6"/>
      <c r="H210" s="4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.75" customHeight="1" x14ac:dyDescent="0.3">
      <c r="A211" s="41"/>
      <c r="B211" s="6"/>
      <c r="C211" s="6"/>
      <c r="D211" s="6"/>
      <c r="E211" s="6"/>
      <c r="F211" s="41"/>
      <c r="G211" s="6"/>
      <c r="H211" s="4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75" customHeight="1" x14ac:dyDescent="0.3">
      <c r="A212" s="41"/>
      <c r="B212" s="6"/>
      <c r="C212" s="6"/>
      <c r="D212" s="6"/>
      <c r="E212" s="6"/>
      <c r="F212" s="41"/>
      <c r="G212" s="6"/>
      <c r="H212" s="4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.75" customHeight="1" x14ac:dyDescent="0.3">
      <c r="A213" s="41"/>
      <c r="B213" s="6"/>
      <c r="C213" s="6"/>
      <c r="D213" s="6"/>
      <c r="E213" s="6"/>
      <c r="F213" s="41"/>
      <c r="G213" s="6"/>
      <c r="H213" s="4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75" customHeight="1" x14ac:dyDescent="0.3">
      <c r="A214" s="41"/>
      <c r="B214" s="6"/>
      <c r="C214" s="6"/>
      <c r="D214" s="6"/>
      <c r="E214" s="6"/>
      <c r="F214" s="41"/>
      <c r="G214" s="6"/>
      <c r="H214" s="4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75" customHeight="1" x14ac:dyDescent="0.3">
      <c r="A215" s="41"/>
      <c r="B215" s="6"/>
      <c r="C215" s="6"/>
      <c r="D215" s="6"/>
      <c r="E215" s="6"/>
      <c r="F215" s="41"/>
      <c r="G215" s="6"/>
      <c r="H215" s="4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.75" customHeight="1" x14ac:dyDescent="0.3">
      <c r="A216" s="41"/>
      <c r="B216" s="6"/>
      <c r="C216" s="6"/>
      <c r="D216" s="6"/>
      <c r="E216" s="6"/>
      <c r="F216" s="41"/>
      <c r="G216" s="6"/>
      <c r="H216" s="4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75" customHeight="1" x14ac:dyDescent="0.3">
      <c r="A217" s="41"/>
      <c r="B217" s="6"/>
      <c r="C217" s="6"/>
      <c r="D217" s="6"/>
      <c r="E217" s="6"/>
      <c r="F217" s="41"/>
      <c r="G217" s="6"/>
      <c r="H217" s="4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.75" customHeight="1" x14ac:dyDescent="0.3">
      <c r="A218" s="41"/>
      <c r="B218" s="6"/>
      <c r="C218" s="6"/>
      <c r="D218" s="6"/>
      <c r="E218" s="6"/>
      <c r="F218" s="41"/>
      <c r="G218" s="6"/>
      <c r="H218" s="4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75" customHeight="1" x14ac:dyDescent="0.3">
      <c r="A219" s="41"/>
      <c r="B219" s="6"/>
      <c r="C219" s="6"/>
      <c r="D219" s="6"/>
      <c r="E219" s="6"/>
      <c r="F219" s="41"/>
      <c r="G219" s="6"/>
      <c r="H219" s="4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75" customHeight="1" x14ac:dyDescent="0.3">
      <c r="A220" s="41"/>
      <c r="B220" s="6"/>
      <c r="C220" s="6"/>
      <c r="D220" s="6"/>
      <c r="E220" s="6"/>
      <c r="F220" s="41"/>
      <c r="G220" s="6"/>
      <c r="H220" s="4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.75" customHeight="1" x14ac:dyDescent="0.3">
      <c r="A221" s="41"/>
      <c r="B221" s="6"/>
      <c r="C221" s="6"/>
      <c r="D221" s="6"/>
      <c r="E221" s="6"/>
      <c r="F221" s="41"/>
      <c r="G221" s="6"/>
      <c r="H221" s="4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.75" customHeight="1" x14ac:dyDescent="0.3">
      <c r="A222" s="41"/>
      <c r="B222" s="6"/>
      <c r="C222" s="6"/>
      <c r="D222" s="6"/>
      <c r="E222" s="6"/>
      <c r="F222" s="41"/>
      <c r="G222" s="6"/>
      <c r="H222" s="4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.75" customHeight="1" x14ac:dyDescent="0.3">
      <c r="A223" s="41"/>
      <c r="B223" s="6"/>
      <c r="C223" s="6"/>
      <c r="D223" s="6"/>
      <c r="E223" s="6"/>
      <c r="F223" s="41"/>
      <c r="G223" s="6"/>
      <c r="H223" s="4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.75" customHeight="1" x14ac:dyDescent="0.3">
      <c r="A224" s="41"/>
      <c r="B224" s="6"/>
      <c r="C224" s="6"/>
      <c r="D224" s="6"/>
      <c r="E224" s="6"/>
      <c r="F224" s="41"/>
      <c r="G224" s="6"/>
      <c r="H224" s="4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.75" customHeight="1" x14ac:dyDescent="0.3">
      <c r="A225" s="41"/>
      <c r="B225" s="6"/>
      <c r="C225" s="6"/>
      <c r="D225" s="6"/>
      <c r="E225" s="6"/>
      <c r="F225" s="41"/>
      <c r="G225" s="6"/>
      <c r="H225" s="4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.75" customHeight="1" x14ac:dyDescent="0.3">
      <c r="A226" s="41"/>
      <c r="B226" s="6"/>
      <c r="C226" s="6"/>
      <c r="D226" s="6"/>
      <c r="E226" s="6"/>
      <c r="F226" s="41"/>
      <c r="G226" s="6"/>
      <c r="H226" s="4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.75" customHeight="1" x14ac:dyDescent="0.3">
      <c r="A227" s="41"/>
      <c r="B227" s="6"/>
      <c r="C227" s="6"/>
      <c r="D227" s="6"/>
      <c r="E227" s="6"/>
      <c r="F227" s="41"/>
      <c r="G227" s="6"/>
      <c r="H227" s="4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.75" customHeight="1" x14ac:dyDescent="0.3">
      <c r="A228" s="41"/>
      <c r="B228" s="6"/>
      <c r="C228" s="6"/>
      <c r="D228" s="6"/>
      <c r="E228" s="6"/>
      <c r="F228" s="41"/>
      <c r="G228" s="6"/>
      <c r="H228" s="4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.75" customHeight="1" x14ac:dyDescent="0.3">
      <c r="A229" s="41"/>
      <c r="B229" s="6"/>
      <c r="C229" s="6"/>
      <c r="D229" s="6"/>
      <c r="E229" s="6"/>
      <c r="F229" s="41"/>
      <c r="G229" s="6"/>
      <c r="H229" s="4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.75" customHeight="1" x14ac:dyDescent="0.3">
      <c r="A230" s="41"/>
      <c r="B230" s="6"/>
      <c r="C230" s="6"/>
      <c r="D230" s="6"/>
      <c r="E230" s="6"/>
      <c r="F230" s="41"/>
      <c r="G230" s="6"/>
      <c r="H230" s="4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.75" customHeight="1" x14ac:dyDescent="0.3">
      <c r="A231" s="41"/>
      <c r="B231" s="6"/>
      <c r="C231" s="6"/>
      <c r="D231" s="6"/>
      <c r="E231" s="6"/>
      <c r="F231" s="41"/>
      <c r="G231" s="6"/>
      <c r="H231" s="4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.75" customHeight="1" x14ac:dyDescent="0.3">
      <c r="A232" s="41"/>
      <c r="B232" s="6"/>
      <c r="C232" s="6"/>
      <c r="D232" s="6"/>
      <c r="E232" s="6"/>
      <c r="F232" s="41"/>
      <c r="G232" s="6"/>
      <c r="H232" s="4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.75" customHeight="1" x14ac:dyDescent="0.3">
      <c r="A233" s="41"/>
      <c r="B233" s="6"/>
      <c r="C233" s="6"/>
      <c r="D233" s="6"/>
      <c r="E233" s="6"/>
      <c r="F233" s="41"/>
      <c r="G233" s="6"/>
      <c r="H233" s="4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.75" customHeight="1" x14ac:dyDescent="0.3">
      <c r="A234" s="41"/>
      <c r="B234" s="6"/>
      <c r="C234" s="6"/>
      <c r="D234" s="6"/>
      <c r="E234" s="6"/>
      <c r="F234" s="41"/>
      <c r="G234" s="6"/>
      <c r="H234" s="4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75" customHeight="1" x14ac:dyDescent="0.3">
      <c r="A235" s="41"/>
      <c r="B235" s="6"/>
      <c r="C235" s="6"/>
      <c r="D235" s="6"/>
      <c r="E235" s="6"/>
      <c r="F235" s="41"/>
      <c r="G235" s="6"/>
      <c r="H235" s="4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.75" customHeight="1" x14ac:dyDescent="0.3">
      <c r="A236" s="41"/>
      <c r="B236" s="6"/>
      <c r="C236" s="6"/>
      <c r="D236" s="6"/>
      <c r="E236" s="6"/>
      <c r="F236" s="41"/>
      <c r="G236" s="6"/>
      <c r="H236" s="4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75" customHeight="1" x14ac:dyDescent="0.3">
      <c r="A237" s="41"/>
      <c r="B237" s="6"/>
      <c r="C237" s="6"/>
      <c r="D237" s="6"/>
      <c r="E237" s="6"/>
      <c r="F237" s="41"/>
      <c r="G237" s="6"/>
      <c r="H237" s="4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.75" customHeight="1" x14ac:dyDescent="0.3">
      <c r="A238" s="41"/>
      <c r="B238" s="6"/>
      <c r="C238" s="6"/>
      <c r="D238" s="6"/>
      <c r="E238" s="6"/>
      <c r="F238" s="41"/>
      <c r="G238" s="6"/>
      <c r="H238" s="4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75" customHeight="1" x14ac:dyDescent="0.3">
      <c r="A239" s="41"/>
      <c r="B239" s="6"/>
      <c r="C239" s="6"/>
      <c r="D239" s="6"/>
      <c r="E239" s="6"/>
      <c r="F239" s="41"/>
      <c r="G239" s="6"/>
      <c r="H239" s="4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75" customHeight="1" x14ac:dyDescent="0.3">
      <c r="A240" s="41"/>
      <c r="B240" s="6"/>
      <c r="C240" s="6"/>
      <c r="D240" s="6"/>
      <c r="E240" s="6"/>
      <c r="F240" s="41"/>
      <c r="G240" s="6"/>
      <c r="H240" s="4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.75" customHeight="1" x14ac:dyDescent="0.3">
      <c r="A241" s="41"/>
      <c r="B241" s="6"/>
      <c r="C241" s="6"/>
      <c r="D241" s="6"/>
      <c r="E241" s="6"/>
      <c r="F241" s="41"/>
      <c r="G241" s="6"/>
      <c r="H241" s="4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75" customHeight="1" x14ac:dyDescent="0.3">
      <c r="A242" s="41"/>
      <c r="B242" s="6"/>
      <c r="C242" s="6"/>
      <c r="D242" s="6"/>
      <c r="E242" s="6"/>
      <c r="F242" s="41"/>
      <c r="G242" s="6"/>
      <c r="H242" s="4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.75" customHeight="1" x14ac:dyDescent="0.3">
      <c r="A243" s="41"/>
      <c r="B243" s="6"/>
      <c r="C243" s="6"/>
      <c r="D243" s="6"/>
      <c r="E243" s="6"/>
      <c r="F243" s="41"/>
      <c r="G243" s="6"/>
      <c r="H243" s="4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75" customHeight="1" x14ac:dyDescent="0.3">
      <c r="A244" s="41"/>
      <c r="B244" s="6"/>
      <c r="C244" s="6"/>
      <c r="D244" s="6"/>
      <c r="E244" s="6"/>
      <c r="F244" s="41"/>
      <c r="G244" s="6"/>
      <c r="H244" s="4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.75" customHeight="1" x14ac:dyDescent="0.3">
      <c r="A245" s="41"/>
      <c r="B245" s="6"/>
      <c r="C245" s="6"/>
      <c r="D245" s="6"/>
      <c r="E245" s="6"/>
      <c r="F245" s="41"/>
      <c r="G245" s="6"/>
      <c r="H245" s="4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.75" customHeight="1" x14ac:dyDescent="0.3">
      <c r="A246" s="41"/>
      <c r="B246" s="6"/>
      <c r="C246" s="6"/>
      <c r="D246" s="6"/>
      <c r="E246" s="6"/>
      <c r="F246" s="41"/>
      <c r="G246" s="6"/>
      <c r="H246" s="4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75" customHeight="1" x14ac:dyDescent="0.3">
      <c r="A247" s="41"/>
      <c r="B247" s="6"/>
      <c r="C247" s="6"/>
      <c r="D247" s="6"/>
      <c r="E247" s="6"/>
      <c r="F247" s="41"/>
      <c r="G247" s="6"/>
      <c r="H247" s="4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.75" customHeight="1" x14ac:dyDescent="0.3">
      <c r="A248" s="41"/>
      <c r="B248" s="6"/>
      <c r="C248" s="6"/>
      <c r="D248" s="6"/>
      <c r="E248" s="6"/>
      <c r="F248" s="41"/>
      <c r="G248" s="6"/>
      <c r="H248" s="4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.75" customHeight="1" x14ac:dyDescent="0.3">
      <c r="A249" s="41"/>
      <c r="B249" s="6"/>
      <c r="C249" s="6"/>
      <c r="D249" s="6"/>
      <c r="E249" s="6"/>
      <c r="F249" s="41"/>
      <c r="G249" s="6"/>
      <c r="H249" s="4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.75" customHeight="1" x14ac:dyDescent="0.3">
      <c r="A250" s="41"/>
      <c r="B250" s="6"/>
      <c r="C250" s="6"/>
      <c r="D250" s="6"/>
      <c r="E250" s="6"/>
      <c r="F250" s="41"/>
      <c r="G250" s="6"/>
      <c r="H250" s="4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.75" customHeight="1" x14ac:dyDescent="0.3">
      <c r="A251" s="41"/>
      <c r="B251" s="6"/>
      <c r="C251" s="6"/>
      <c r="D251" s="6"/>
      <c r="E251" s="6"/>
      <c r="F251" s="41"/>
      <c r="G251" s="6"/>
      <c r="H251" s="4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.75" customHeight="1" x14ac:dyDescent="0.3">
      <c r="A252" s="41"/>
      <c r="B252" s="6"/>
      <c r="C252" s="6"/>
      <c r="D252" s="6"/>
      <c r="E252" s="6"/>
      <c r="F252" s="41"/>
      <c r="G252" s="6"/>
      <c r="H252" s="4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.75" customHeight="1" x14ac:dyDescent="0.3">
      <c r="A253" s="41"/>
      <c r="B253" s="6"/>
      <c r="C253" s="6"/>
      <c r="D253" s="6"/>
      <c r="E253" s="6"/>
      <c r="F253" s="41"/>
      <c r="G253" s="6"/>
      <c r="H253" s="4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.75" customHeight="1" x14ac:dyDescent="0.3">
      <c r="A254" s="41"/>
      <c r="B254" s="6"/>
      <c r="C254" s="6"/>
      <c r="D254" s="6"/>
      <c r="E254" s="6"/>
      <c r="F254" s="41"/>
      <c r="G254" s="6"/>
      <c r="H254" s="4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.75" customHeight="1" x14ac:dyDescent="0.3">
      <c r="A255" s="41"/>
      <c r="B255" s="6"/>
      <c r="C255" s="6"/>
      <c r="D255" s="6"/>
      <c r="E255" s="6"/>
      <c r="F255" s="41"/>
      <c r="G255" s="6"/>
      <c r="H255" s="4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.75" customHeight="1" x14ac:dyDescent="0.3">
      <c r="A256" s="41"/>
      <c r="B256" s="6"/>
      <c r="C256" s="6"/>
      <c r="D256" s="6"/>
      <c r="E256" s="6"/>
      <c r="F256" s="41"/>
      <c r="G256" s="6"/>
      <c r="H256" s="4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.75" customHeight="1" x14ac:dyDescent="0.3">
      <c r="A257" s="41"/>
      <c r="B257" s="6"/>
      <c r="C257" s="6"/>
      <c r="D257" s="6"/>
      <c r="E257" s="6"/>
      <c r="F257" s="41"/>
      <c r="G257" s="6"/>
      <c r="H257" s="4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.75" customHeight="1" x14ac:dyDescent="0.3">
      <c r="A258" s="41"/>
      <c r="B258" s="6"/>
      <c r="C258" s="6"/>
      <c r="D258" s="6"/>
      <c r="E258" s="6"/>
      <c r="F258" s="41"/>
      <c r="G258" s="6"/>
      <c r="H258" s="4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.75" customHeight="1" x14ac:dyDescent="0.3">
      <c r="A259" s="41"/>
      <c r="B259" s="6"/>
      <c r="C259" s="6"/>
      <c r="D259" s="6"/>
      <c r="E259" s="6"/>
      <c r="F259" s="41"/>
      <c r="G259" s="6"/>
      <c r="H259" s="4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.75" customHeight="1" x14ac:dyDescent="0.3">
      <c r="A260" s="41"/>
      <c r="B260" s="6"/>
      <c r="C260" s="6"/>
      <c r="D260" s="6"/>
      <c r="E260" s="6"/>
      <c r="F260" s="41"/>
      <c r="G260" s="6"/>
      <c r="H260" s="4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.75" customHeight="1" x14ac:dyDescent="0.3">
      <c r="A261" s="41"/>
      <c r="B261" s="6"/>
      <c r="C261" s="6"/>
      <c r="D261" s="6"/>
      <c r="E261" s="6"/>
      <c r="F261" s="41"/>
      <c r="G261" s="6"/>
      <c r="H261" s="4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.75" customHeight="1" x14ac:dyDescent="0.3">
      <c r="A262" s="41"/>
      <c r="B262" s="6"/>
      <c r="C262" s="6"/>
      <c r="D262" s="6"/>
      <c r="E262" s="6"/>
      <c r="F262" s="41"/>
      <c r="G262" s="6"/>
      <c r="H262" s="4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.75" customHeight="1" x14ac:dyDescent="0.3">
      <c r="A263" s="41"/>
      <c r="B263" s="6"/>
      <c r="C263" s="6"/>
      <c r="D263" s="6"/>
      <c r="E263" s="6"/>
      <c r="F263" s="41"/>
      <c r="G263" s="6"/>
      <c r="H263" s="4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.75" customHeight="1" x14ac:dyDescent="0.3">
      <c r="A264" s="41"/>
      <c r="B264" s="6"/>
      <c r="C264" s="6"/>
      <c r="D264" s="6"/>
      <c r="E264" s="6"/>
      <c r="F264" s="41"/>
      <c r="G264" s="6"/>
      <c r="H264" s="4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.75" customHeight="1" x14ac:dyDescent="0.3">
      <c r="A265" s="41"/>
      <c r="B265" s="6"/>
      <c r="C265" s="6"/>
      <c r="D265" s="6"/>
      <c r="E265" s="6"/>
      <c r="F265" s="41"/>
      <c r="G265" s="6"/>
      <c r="H265" s="4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.75" customHeight="1" x14ac:dyDescent="0.3">
      <c r="A266" s="41"/>
      <c r="B266" s="6"/>
      <c r="C266" s="6"/>
      <c r="D266" s="6"/>
      <c r="E266" s="6"/>
      <c r="F266" s="41"/>
      <c r="G266" s="6"/>
      <c r="H266" s="4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.75" customHeight="1" x14ac:dyDescent="0.3">
      <c r="A267" s="41"/>
      <c r="B267" s="6"/>
      <c r="C267" s="6"/>
      <c r="D267" s="6"/>
      <c r="E267" s="6"/>
      <c r="F267" s="41"/>
      <c r="G267" s="6"/>
      <c r="H267" s="4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.75" customHeight="1" x14ac:dyDescent="0.3">
      <c r="A268" s="41"/>
      <c r="B268" s="6"/>
      <c r="C268" s="6"/>
      <c r="D268" s="6"/>
      <c r="E268" s="6"/>
      <c r="F268" s="41"/>
      <c r="G268" s="6"/>
      <c r="H268" s="4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.75" customHeight="1" x14ac:dyDescent="0.3">
      <c r="A269" s="41"/>
      <c r="B269" s="6"/>
      <c r="C269" s="6"/>
      <c r="D269" s="6"/>
      <c r="E269" s="6"/>
      <c r="F269" s="41"/>
      <c r="G269" s="6"/>
      <c r="H269" s="4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.75" customHeight="1" x14ac:dyDescent="0.3">
      <c r="A270" s="41"/>
      <c r="B270" s="6"/>
      <c r="C270" s="6"/>
      <c r="D270" s="6"/>
      <c r="E270" s="6"/>
      <c r="F270" s="41"/>
      <c r="G270" s="6"/>
      <c r="H270" s="4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.75" customHeight="1" x14ac:dyDescent="0.3">
      <c r="A271" s="41"/>
      <c r="B271" s="6"/>
      <c r="C271" s="6"/>
      <c r="D271" s="6"/>
      <c r="E271" s="6"/>
      <c r="F271" s="41"/>
      <c r="G271" s="6"/>
      <c r="H271" s="4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.75" customHeight="1" x14ac:dyDescent="0.3">
      <c r="A272" s="41"/>
      <c r="B272" s="6"/>
      <c r="C272" s="6"/>
      <c r="D272" s="6"/>
      <c r="E272" s="6"/>
      <c r="F272" s="41"/>
      <c r="G272" s="6"/>
      <c r="H272" s="4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.75" customHeight="1" x14ac:dyDescent="0.3">
      <c r="A273" s="41"/>
      <c r="B273" s="6"/>
      <c r="C273" s="6"/>
      <c r="D273" s="6"/>
      <c r="E273" s="6"/>
      <c r="F273" s="41"/>
      <c r="G273" s="6"/>
      <c r="H273" s="4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.75" customHeight="1" x14ac:dyDescent="0.3">
      <c r="A274" s="41"/>
      <c r="B274" s="6"/>
      <c r="C274" s="6"/>
      <c r="D274" s="6"/>
      <c r="E274" s="6"/>
      <c r="F274" s="41"/>
      <c r="G274" s="6"/>
      <c r="H274" s="4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.75" customHeight="1" x14ac:dyDescent="0.3">
      <c r="A275" s="41"/>
      <c r="B275" s="6"/>
      <c r="C275" s="6"/>
      <c r="D275" s="6"/>
      <c r="E275" s="6"/>
      <c r="F275" s="41"/>
      <c r="G275" s="6"/>
      <c r="H275" s="4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.75" customHeight="1" x14ac:dyDescent="0.3">
      <c r="A276" s="41"/>
      <c r="B276" s="6"/>
      <c r="C276" s="6"/>
      <c r="D276" s="6"/>
      <c r="E276" s="6"/>
      <c r="F276" s="41"/>
      <c r="G276" s="6"/>
      <c r="H276" s="4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.75" customHeight="1" x14ac:dyDescent="0.3">
      <c r="A277" s="41"/>
      <c r="B277" s="6"/>
      <c r="C277" s="6"/>
      <c r="D277" s="6"/>
      <c r="E277" s="6"/>
      <c r="F277" s="41"/>
      <c r="G277" s="6"/>
      <c r="H277" s="4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.75" customHeight="1" x14ac:dyDescent="0.3">
      <c r="A278" s="41"/>
      <c r="B278" s="6"/>
      <c r="C278" s="6"/>
      <c r="D278" s="6"/>
      <c r="E278" s="6"/>
      <c r="F278" s="41"/>
      <c r="G278" s="6"/>
      <c r="H278" s="4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.75" customHeight="1" x14ac:dyDescent="0.3">
      <c r="A279" s="41"/>
      <c r="B279" s="6"/>
      <c r="C279" s="6"/>
      <c r="D279" s="6"/>
      <c r="E279" s="6"/>
      <c r="F279" s="41"/>
      <c r="G279" s="6"/>
      <c r="H279" s="4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.75" customHeight="1" x14ac:dyDescent="0.3">
      <c r="A280" s="41"/>
      <c r="B280" s="6"/>
      <c r="C280" s="6"/>
      <c r="D280" s="6"/>
      <c r="E280" s="6"/>
      <c r="F280" s="41"/>
      <c r="G280" s="6"/>
      <c r="H280" s="4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.75" customHeight="1" x14ac:dyDescent="0.3">
      <c r="A281" s="41"/>
      <c r="B281" s="6"/>
      <c r="C281" s="6"/>
      <c r="D281" s="6"/>
      <c r="E281" s="6"/>
      <c r="F281" s="41"/>
      <c r="G281" s="6"/>
      <c r="H281" s="4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.75" customHeight="1" x14ac:dyDescent="0.3">
      <c r="A282" s="41"/>
      <c r="B282" s="6"/>
      <c r="C282" s="6"/>
      <c r="D282" s="6"/>
      <c r="E282" s="6"/>
      <c r="F282" s="41"/>
      <c r="G282" s="6"/>
      <c r="H282" s="4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.75" customHeight="1" x14ac:dyDescent="0.3">
      <c r="A283" s="41"/>
      <c r="B283" s="6"/>
      <c r="C283" s="6"/>
      <c r="D283" s="6"/>
      <c r="E283" s="6"/>
      <c r="F283" s="41"/>
      <c r="G283" s="6"/>
      <c r="H283" s="4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.75" customHeight="1" x14ac:dyDescent="0.3">
      <c r="A284" s="41"/>
      <c r="B284" s="6"/>
      <c r="C284" s="6"/>
      <c r="D284" s="6"/>
      <c r="E284" s="6"/>
      <c r="F284" s="41"/>
      <c r="G284" s="6"/>
      <c r="H284" s="4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.75" customHeight="1" x14ac:dyDescent="0.3">
      <c r="A285" s="41"/>
      <c r="B285" s="6"/>
      <c r="C285" s="6"/>
      <c r="D285" s="6"/>
      <c r="E285" s="6"/>
      <c r="F285" s="41"/>
      <c r="G285" s="6"/>
      <c r="H285" s="4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.75" customHeight="1" x14ac:dyDescent="0.3">
      <c r="A286" s="41"/>
      <c r="B286" s="6"/>
      <c r="C286" s="6"/>
      <c r="D286" s="6"/>
      <c r="E286" s="6"/>
      <c r="F286" s="41"/>
      <c r="G286" s="6"/>
      <c r="H286" s="4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.75" customHeight="1" x14ac:dyDescent="0.3">
      <c r="A287" s="41"/>
      <c r="B287" s="6"/>
      <c r="C287" s="6"/>
      <c r="D287" s="6"/>
      <c r="E287" s="6"/>
      <c r="F287" s="41"/>
      <c r="G287" s="6"/>
      <c r="H287" s="4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.75" customHeight="1" x14ac:dyDescent="0.3">
      <c r="A288" s="41"/>
      <c r="B288" s="6"/>
      <c r="C288" s="6"/>
      <c r="D288" s="6"/>
      <c r="E288" s="6"/>
      <c r="F288" s="41"/>
      <c r="G288" s="6"/>
      <c r="H288" s="4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.75" customHeight="1" x14ac:dyDescent="0.3">
      <c r="A289" s="41"/>
      <c r="B289" s="6"/>
      <c r="C289" s="6"/>
      <c r="D289" s="6"/>
      <c r="E289" s="6"/>
      <c r="F289" s="41"/>
      <c r="G289" s="6"/>
      <c r="H289" s="4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.75" customHeight="1" x14ac:dyDescent="0.3">
      <c r="A290" s="41"/>
      <c r="B290" s="6"/>
      <c r="C290" s="6"/>
      <c r="D290" s="6"/>
      <c r="E290" s="6"/>
      <c r="F290" s="41"/>
      <c r="G290" s="6"/>
      <c r="H290" s="4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.75" customHeight="1" x14ac:dyDescent="0.3">
      <c r="A291" s="41"/>
      <c r="B291" s="6"/>
      <c r="C291" s="6"/>
      <c r="D291" s="6"/>
      <c r="E291" s="6"/>
      <c r="F291" s="41"/>
      <c r="G291" s="6"/>
      <c r="H291" s="4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.75" customHeight="1" x14ac:dyDescent="0.3">
      <c r="A292" s="41"/>
      <c r="B292" s="6"/>
      <c r="C292" s="6"/>
      <c r="D292" s="6"/>
      <c r="E292" s="6"/>
      <c r="F292" s="41"/>
      <c r="G292" s="6"/>
      <c r="H292" s="4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.75" customHeight="1" x14ac:dyDescent="0.3">
      <c r="A293" s="41"/>
      <c r="B293" s="6"/>
      <c r="C293" s="6"/>
      <c r="D293" s="6"/>
      <c r="E293" s="6"/>
      <c r="F293" s="41"/>
      <c r="G293" s="6"/>
      <c r="H293" s="4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.75" customHeight="1" x14ac:dyDescent="0.3">
      <c r="A294" s="41"/>
      <c r="B294" s="6"/>
      <c r="C294" s="6"/>
      <c r="D294" s="6"/>
      <c r="E294" s="6"/>
      <c r="F294" s="41"/>
      <c r="G294" s="6"/>
      <c r="H294" s="4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.75" customHeight="1" x14ac:dyDescent="0.3">
      <c r="A295" s="41"/>
      <c r="B295" s="6"/>
      <c r="C295" s="6"/>
      <c r="D295" s="6"/>
      <c r="E295" s="6"/>
      <c r="F295" s="41"/>
      <c r="G295" s="6"/>
      <c r="H295" s="4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.75" customHeight="1" x14ac:dyDescent="0.3">
      <c r="A296" s="41"/>
      <c r="B296" s="6"/>
      <c r="C296" s="6"/>
      <c r="D296" s="6"/>
      <c r="E296" s="6"/>
      <c r="F296" s="41"/>
      <c r="G296" s="6"/>
      <c r="H296" s="4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75" customHeight="1" x14ac:dyDescent="0.3">
      <c r="A297" s="41"/>
      <c r="B297" s="6"/>
      <c r="C297" s="6"/>
      <c r="D297" s="6"/>
      <c r="E297" s="6"/>
      <c r="F297" s="41"/>
      <c r="G297" s="6"/>
      <c r="H297" s="4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.75" customHeight="1" x14ac:dyDescent="0.3">
      <c r="A298" s="41"/>
      <c r="B298" s="6"/>
      <c r="C298" s="6"/>
      <c r="D298" s="6"/>
      <c r="E298" s="6"/>
      <c r="F298" s="41"/>
      <c r="G298" s="6"/>
      <c r="H298" s="4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75" customHeight="1" x14ac:dyDescent="0.3">
      <c r="A299" s="41"/>
      <c r="B299" s="6"/>
      <c r="C299" s="6"/>
      <c r="D299" s="6"/>
      <c r="E299" s="6"/>
      <c r="F299" s="41"/>
      <c r="G299" s="6"/>
      <c r="H299" s="4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75" customHeight="1" x14ac:dyDescent="0.3">
      <c r="A300" s="41"/>
      <c r="B300" s="6"/>
      <c r="C300" s="6"/>
      <c r="D300" s="6"/>
      <c r="E300" s="6"/>
      <c r="F300" s="41"/>
      <c r="G300" s="6"/>
      <c r="H300" s="4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.75" customHeight="1" x14ac:dyDescent="0.3">
      <c r="A301" s="41"/>
      <c r="B301" s="6"/>
      <c r="C301" s="6"/>
      <c r="D301" s="6"/>
      <c r="E301" s="6"/>
      <c r="F301" s="41"/>
      <c r="G301" s="6"/>
      <c r="H301" s="4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75" customHeight="1" x14ac:dyDescent="0.3">
      <c r="A302" s="41"/>
      <c r="B302" s="6"/>
      <c r="C302" s="6"/>
      <c r="D302" s="6"/>
      <c r="E302" s="6"/>
      <c r="F302" s="41"/>
      <c r="G302" s="6"/>
      <c r="H302" s="4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.75" customHeight="1" x14ac:dyDescent="0.3">
      <c r="A303" s="41"/>
      <c r="B303" s="6"/>
      <c r="C303" s="6"/>
      <c r="D303" s="6"/>
      <c r="E303" s="6"/>
      <c r="F303" s="41"/>
      <c r="G303" s="6"/>
      <c r="H303" s="4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75" customHeight="1" x14ac:dyDescent="0.3">
      <c r="A304" s="41"/>
      <c r="B304" s="6"/>
      <c r="C304" s="6"/>
      <c r="D304" s="6"/>
      <c r="E304" s="6"/>
      <c r="F304" s="41"/>
      <c r="G304" s="6"/>
      <c r="H304" s="4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75" customHeight="1" x14ac:dyDescent="0.3">
      <c r="A305" s="41"/>
      <c r="B305" s="6"/>
      <c r="C305" s="6"/>
      <c r="D305" s="6"/>
      <c r="E305" s="6"/>
      <c r="F305" s="41"/>
      <c r="G305" s="6"/>
      <c r="H305" s="4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.75" customHeight="1" x14ac:dyDescent="0.3">
      <c r="A306" s="41"/>
      <c r="B306" s="6"/>
      <c r="C306" s="6"/>
      <c r="D306" s="6"/>
      <c r="E306" s="6"/>
      <c r="F306" s="41"/>
      <c r="G306" s="6"/>
      <c r="H306" s="4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.75" customHeight="1" x14ac:dyDescent="0.3">
      <c r="A307" s="41"/>
      <c r="B307" s="6"/>
      <c r="C307" s="6"/>
      <c r="D307" s="6"/>
      <c r="E307" s="6"/>
      <c r="F307" s="41"/>
      <c r="G307" s="6"/>
      <c r="H307" s="4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.75" customHeight="1" x14ac:dyDescent="0.3">
      <c r="A308" s="41"/>
      <c r="B308" s="6"/>
      <c r="C308" s="6"/>
      <c r="D308" s="6"/>
      <c r="E308" s="6"/>
      <c r="F308" s="41"/>
      <c r="G308" s="6"/>
      <c r="H308" s="4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75" customHeight="1" x14ac:dyDescent="0.3">
      <c r="A309" s="41"/>
      <c r="B309" s="6"/>
      <c r="C309" s="6"/>
      <c r="D309" s="6"/>
      <c r="E309" s="6"/>
      <c r="F309" s="41"/>
      <c r="G309" s="6"/>
      <c r="H309" s="4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.75" customHeight="1" x14ac:dyDescent="0.3">
      <c r="A310" s="41"/>
      <c r="B310" s="6"/>
      <c r="C310" s="6"/>
      <c r="D310" s="6"/>
      <c r="E310" s="6"/>
      <c r="F310" s="41"/>
      <c r="G310" s="6"/>
      <c r="H310" s="4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.75" customHeight="1" x14ac:dyDescent="0.3">
      <c r="A311" s="41"/>
      <c r="B311" s="6"/>
      <c r="C311" s="6"/>
      <c r="D311" s="6"/>
      <c r="E311" s="6"/>
      <c r="F311" s="41"/>
      <c r="G311" s="6"/>
      <c r="H311" s="4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.75" customHeight="1" x14ac:dyDescent="0.3">
      <c r="A312" s="41"/>
      <c r="B312" s="6"/>
      <c r="C312" s="6"/>
      <c r="D312" s="6"/>
      <c r="E312" s="6"/>
      <c r="F312" s="41"/>
      <c r="G312" s="6"/>
      <c r="H312" s="4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.75" customHeight="1" x14ac:dyDescent="0.3">
      <c r="A313" s="41"/>
      <c r="B313" s="6"/>
      <c r="C313" s="6"/>
      <c r="D313" s="6"/>
      <c r="E313" s="6"/>
      <c r="F313" s="41"/>
      <c r="G313" s="6"/>
      <c r="H313" s="4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.75" customHeight="1" x14ac:dyDescent="0.3">
      <c r="A314" s="41"/>
      <c r="B314" s="6"/>
      <c r="C314" s="6"/>
      <c r="D314" s="6"/>
      <c r="E314" s="6"/>
      <c r="F314" s="41"/>
      <c r="G314" s="6"/>
      <c r="H314" s="4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.75" customHeight="1" x14ac:dyDescent="0.3">
      <c r="A315" s="41"/>
      <c r="B315" s="6"/>
      <c r="C315" s="6"/>
      <c r="D315" s="6"/>
      <c r="E315" s="6"/>
      <c r="F315" s="41"/>
      <c r="G315" s="6"/>
      <c r="H315" s="4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75" customHeight="1" x14ac:dyDescent="0.3">
      <c r="A316" s="41"/>
      <c r="B316" s="6"/>
      <c r="C316" s="6"/>
      <c r="D316" s="6"/>
      <c r="E316" s="6"/>
      <c r="F316" s="41"/>
      <c r="G316" s="6"/>
      <c r="H316" s="4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.75" customHeight="1" x14ac:dyDescent="0.3">
      <c r="A317" s="41"/>
      <c r="B317" s="6"/>
      <c r="C317" s="6"/>
      <c r="D317" s="6"/>
      <c r="E317" s="6"/>
      <c r="F317" s="41"/>
      <c r="G317" s="6"/>
      <c r="H317" s="4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.75" customHeight="1" x14ac:dyDescent="0.3">
      <c r="A318" s="41"/>
      <c r="B318" s="6"/>
      <c r="C318" s="6"/>
      <c r="D318" s="6"/>
      <c r="E318" s="6"/>
      <c r="F318" s="41"/>
      <c r="G318" s="6"/>
      <c r="H318" s="4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.75" customHeight="1" x14ac:dyDescent="0.3">
      <c r="A319" s="41"/>
      <c r="B319" s="6"/>
      <c r="C319" s="6"/>
      <c r="D319" s="6"/>
      <c r="E319" s="6"/>
      <c r="F319" s="41"/>
      <c r="G319" s="6"/>
      <c r="H319" s="4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.75" customHeight="1" x14ac:dyDescent="0.3">
      <c r="A320" s="41"/>
      <c r="B320" s="6"/>
      <c r="C320" s="6"/>
      <c r="D320" s="6"/>
      <c r="E320" s="6"/>
      <c r="F320" s="41"/>
      <c r="G320" s="6"/>
      <c r="H320" s="4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.75" customHeight="1" x14ac:dyDescent="0.3">
      <c r="A321" s="41"/>
      <c r="B321" s="6"/>
      <c r="C321" s="6"/>
      <c r="D321" s="6"/>
      <c r="E321" s="6"/>
      <c r="F321" s="41"/>
      <c r="G321" s="6"/>
      <c r="H321" s="4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.75" customHeight="1" x14ac:dyDescent="0.3">
      <c r="A322" s="41"/>
      <c r="B322" s="6"/>
      <c r="C322" s="6"/>
      <c r="D322" s="6"/>
      <c r="E322" s="6"/>
      <c r="F322" s="41"/>
      <c r="G322" s="6"/>
      <c r="H322" s="4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.75" customHeight="1" x14ac:dyDescent="0.3">
      <c r="A323" s="41"/>
      <c r="B323" s="6"/>
      <c r="C323" s="6"/>
      <c r="D323" s="6"/>
      <c r="E323" s="6"/>
      <c r="F323" s="41"/>
      <c r="G323" s="6"/>
      <c r="H323" s="4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.75" customHeight="1" x14ac:dyDescent="0.3">
      <c r="A324" s="41"/>
      <c r="B324" s="6"/>
      <c r="C324" s="6"/>
      <c r="D324" s="6"/>
      <c r="E324" s="6"/>
      <c r="F324" s="41"/>
      <c r="G324" s="6"/>
      <c r="H324" s="4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.75" customHeight="1" x14ac:dyDescent="0.3">
      <c r="A325" s="41"/>
      <c r="B325" s="6"/>
      <c r="C325" s="6"/>
      <c r="D325" s="6"/>
      <c r="E325" s="6"/>
      <c r="F325" s="41"/>
      <c r="G325" s="6"/>
      <c r="H325" s="4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.75" customHeight="1" x14ac:dyDescent="0.3">
      <c r="A326" s="41"/>
      <c r="B326" s="6"/>
      <c r="C326" s="6"/>
      <c r="D326" s="6"/>
      <c r="E326" s="6"/>
      <c r="F326" s="41"/>
      <c r="G326" s="6"/>
      <c r="H326" s="4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.75" customHeight="1" x14ac:dyDescent="0.3">
      <c r="A327" s="41"/>
      <c r="B327" s="6"/>
      <c r="C327" s="6"/>
      <c r="D327" s="6"/>
      <c r="E327" s="6"/>
      <c r="F327" s="41"/>
      <c r="G327" s="6"/>
      <c r="H327" s="4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.75" customHeight="1" x14ac:dyDescent="0.3">
      <c r="A328" s="41"/>
      <c r="B328" s="6"/>
      <c r="C328" s="6"/>
      <c r="D328" s="6"/>
      <c r="E328" s="6"/>
      <c r="F328" s="41"/>
      <c r="G328" s="6"/>
      <c r="H328" s="4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.75" customHeight="1" x14ac:dyDescent="0.25"/>
    <row r="330" spans="1:28" ht="15.75" customHeight="1" x14ac:dyDescent="0.25"/>
    <row r="331" spans="1:28" ht="15.75" customHeight="1" x14ac:dyDescent="0.25"/>
    <row r="332" spans="1:28" ht="15.75" customHeight="1" x14ac:dyDescent="0.25"/>
    <row r="333" spans="1:28" ht="15.75" customHeight="1" x14ac:dyDescent="0.25"/>
    <row r="334" spans="1:28" ht="15.75" customHeight="1" x14ac:dyDescent="0.25"/>
    <row r="335" spans="1:28" ht="15.75" customHeight="1" x14ac:dyDescent="0.25"/>
    <row r="336" spans="1:2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D3:F3"/>
    <mergeCell ref="D4:F4"/>
  </mergeCells>
  <printOptions horizontalCentered="1"/>
  <pageMargins left="0.25" right="0.25" top="0.75" bottom="0.75" header="0" footer="0"/>
  <pageSetup paperSize="9" fitToHeight="0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workbookViewId="0">
      <pane ySplit="8" topLeftCell="A9" activePane="bottomLeft" state="frozen"/>
      <selection pane="bottomLeft" activeCell="B10" sqref="B10"/>
    </sheetView>
  </sheetViews>
  <sheetFormatPr defaultColWidth="12.6640625" defaultRowHeight="15" customHeight="1" x14ac:dyDescent="0.25"/>
  <cols>
    <col min="1" max="1" width="7.6640625" customWidth="1"/>
    <col min="2" max="2" width="9.77734375" customWidth="1"/>
    <col min="3" max="3" width="10.44140625" customWidth="1"/>
    <col min="4" max="4" width="19.77734375" customWidth="1"/>
    <col min="5" max="5" width="8.33203125" customWidth="1"/>
    <col min="6" max="6" width="14.21875" customWidth="1"/>
    <col min="7" max="7" width="29.109375" customWidth="1"/>
    <col min="8" max="9" width="17.44140625" customWidth="1"/>
    <col min="10" max="10" width="42.88671875" customWidth="1"/>
    <col min="11" max="11" width="15.21875" customWidth="1"/>
  </cols>
  <sheetData>
    <row r="1" spans="1:28" ht="15.75" customHeight="1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 x14ac:dyDescent="0.3">
      <c r="A2" s="7"/>
      <c r="B2" s="8"/>
      <c r="C2" s="9"/>
      <c r="D2" s="9"/>
      <c r="E2" s="9"/>
      <c r="F2" s="8"/>
      <c r="G2" s="9"/>
      <c r="H2" s="10"/>
      <c r="I2" s="10"/>
      <c r="J2" s="9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 x14ac:dyDescent="0.3">
      <c r="A3" s="7"/>
      <c r="B3" s="8"/>
      <c r="C3" s="9"/>
      <c r="D3" s="47" t="s">
        <v>1</v>
      </c>
      <c r="E3" s="48"/>
      <c r="F3" s="48"/>
      <c r="G3" s="12"/>
      <c r="H3" s="11" t="s">
        <v>2</v>
      </c>
      <c r="I3" s="11"/>
      <c r="J3" s="9"/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 x14ac:dyDescent="0.3">
      <c r="A4" s="7"/>
      <c r="B4" s="8"/>
      <c r="C4" s="9"/>
      <c r="D4" s="49" t="s">
        <v>3</v>
      </c>
      <c r="E4" s="48"/>
      <c r="F4" s="48"/>
      <c r="G4" s="12"/>
      <c r="H4" s="11" t="s">
        <v>4</v>
      </c>
      <c r="I4" s="11"/>
      <c r="J4" s="9"/>
      <c r="K4" s="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 x14ac:dyDescent="0.3">
      <c r="A5" s="7"/>
      <c r="B5" s="8"/>
      <c r="C5" s="9"/>
      <c r="D5" s="11" t="s">
        <v>5</v>
      </c>
      <c r="E5" s="9"/>
      <c r="F5" s="8"/>
      <c r="G5" s="12"/>
      <c r="H5" s="11" t="s">
        <v>6</v>
      </c>
      <c r="I5" s="11"/>
      <c r="J5" s="9"/>
      <c r="K5" s="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75" customHeight="1" x14ac:dyDescent="0.3">
      <c r="A6" s="7"/>
      <c r="B6" s="8"/>
      <c r="C6" s="9"/>
      <c r="D6" s="11"/>
      <c r="E6" s="9"/>
      <c r="F6" s="8"/>
      <c r="G6" s="9"/>
      <c r="H6" s="10"/>
      <c r="I6" s="10"/>
      <c r="J6" s="9"/>
      <c r="K6" s="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 x14ac:dyDescent="0.3">
      <c r="A7" s="13"/>
      <c r="B7" s="14"/>
      <c r="C7" s="15"/>
      <c r="D7" s="15"/>
      <c r="E7" s="15"/>
      <c r="F7" s="14"/>
      <c r="G7" s="15"/>
      <c r="H7" s="16"/>
      <c r="I7" s="16"/>
      <c r="J7" s="15"/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75" customHeight="1" x14ac:dyDescent="0.3">
      <c r="A8" s="17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44" t="s">
        <v>357</v>
      </c>
      <c r="I8" s="44" t="s">
        <v>358</v>
      </c>
      <c r="J8" s="18" t="s">
        <v>15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 x14ac:dyDescent="0.3">
      <c r="A9" s="21">
        <v>1</v>
      </c>
      <c r="B9" s="22" t="s">
        <v>22</v>
      </c>
      <c r="C9" s="22">
        <v>10421133</v>
      </c>
      <c r="D9" s="22" t="s">
        <v>23</v>
      </c>
      <c r="E9" s="22" t="s">
        <v>24</v>
      </c>
      <c r="F9" s="21">
        <v>1</v>
      </c>
      <c r="G9" s="22" t="s">
        <v>25</v>
      </c>
      <c r="H9" s="45">
        <v>10</v>
      </c>
      <c r="I9" s="45">
        <v>10</v>
      </c>
      <c r="J9" s="2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 x14ac:dyDescent="0.3">
      <c r="A10" s="21">
        <v>2</v>
      </c>
      <c r="B10" s="22" t="s">
        <v>22</v>
      </c>
      <c r="C10" s="22">
        <v>10421127</v>
      </c>
      <c r="D10" s="22" t="s">
        <v>27</v>
      </c>
      <c r="E10" s="22" t="s">
        <v>28</v>
      </c>
      <c r="F10" s="21">
        <v>1</v>
      </c>
      <c r="G10" s="22" t="s">
        <v>29</v>
      </c>
      <c r="H10" s="45">
        <v>10</v>
      </c>
      <c r="I10" s="45">
        <v>10</v>
      </c>
      <c r="J10" s="45" t="s">
        <v>359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 x14ac:dyDescent="0.3">
      <c r="A11" s="21">
        <v>3</v>
      </c>
      <c r="B11" s="22" t="s">
        <v>30</v>
      </c>
      <c r="C11" s="22">
        <v>10422002</v>
      </c>
      <c r="D11" s="22" t="s">
        <v>31</v>
      </c>
      <c r="E11" s="22" t="s">
        <v>32</v>
      </c>
      <c r="F11" s="21">
        <v>1</v>
      </c>
      <c r="G11" s="22" t="s">
        <v>33</v>
      </c>
      <c r="H11" s="45">
        <v>0</v>
      </c>
      <c r="I11" s="45">
        <v>10</v>
      </c>
      <c r="J11" s="45" t="s">
        <v>360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75" customHeight="1" x14ac:dyDescent="0.3">
      <c r="A12" s="21">
        <v>4</v>
      </c>
      <c r="B12" s="22" t="s">
        <v>30</v>
      </c>
      <c r="C12" s="22">
        <v>10422003</v>
      </c>
      <c r="D12" s="22" t="s">
        <v>34</v>
      </c>
      <c r="E12" s="22" t="s">
        <v>32</v>
      </c>
      <c r="F12" s="21">
        <v>1</v>
      </c>
      <c r="G12" s="22" t="s">
        <v>35</v>
      </c>
      <c r="H12" s="45">
        <v>10</v>
      </c>
      <c r="I12" s="45">
        <v>10</v>
      </c>
      <c r="J12" s="2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customHeight="1" x14ac:dyDescent="0.3">
      <c r="A13" s="21">
        <v>5</v>
      </c>
      <c r="B13" s="22" t="s">
        <v>30</v>
      </c>
      <c r="C13" s="22">
        <v>10422004</v>
      </c>
      <c r="D13" s="22" t="s">
        <v>36</v>
      </c>
      <c r="E13" s="22" t="s">
        <v>32</v>
      </c>
      <c r="F13" s="21">
        <v>1</v>
      </c>
      <c r="G13" s="22" t="s">
        <v>37</v>
      </c>
      <c r="H13" s="45">
        <v>10</v>
      </c>
      <c r="I13" s="45">
        <v>10</v>
      </c>
      <c r="J13" s="2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customHeight="1" x14ac:dyDescent="0.3">
      <c r="A14" s="21">
        <v>6</v>
      </c>
      <c r="B14" s="22" t="s">
        <v>30</v>
      </c>
      <c r="C14" s="22">
        <v>10222040</v>
      </c>
      <c r="D14" s="22" t="s">
        <v>38</v>
      </c>
      <c r="E14" s="22" t="s">
        <v>39</v>
      </c>
      <c r="F14" s="21">
        <v>1</v>
      </c>
      <c r="G14" s="22" t="s">
        <v>40</v>
      </c>
      <c r="H14" s="45">
        <v>0</v>
      </c>
      <c r="I14" s="45">
        <v>10</v>
      </c>
      <c r="J14" s="45" t="s">
        <v>360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 x14ac:dyDescent="0.3">
      <c r="A15" s="21">
        <v>7</v>
      </c>
      <c r="B15" s="22" t="s">
        <v>30</v>
      </c>
      <c r="C15" s="22">
        <v>10422005</v>
      </c>
      <c r="D15" s="22" t="s">
        <v>42</v>
      </c>
      <c r="E15" s="22" t="s">
        <v>39</v>
      </c>
      <c r="F15" s="21">
        <v>1</v>
      </c>
      <c r="G15" s="22" t="s">
        <v>43</v>
      </c>
      <c r="H15" s="45">
        <v>0</v>
      </c>
      <c r="I15" s="45">
        <v>10</v>
      </c>
      <c r="J15" s="45" t="s">
        <v>360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 x14ac:dyDescent="0.3">
      <c r="A16" s="21">
        <v>8</v>
      </c>
      <c r="B16" s="22" t="s">
        <v>30</v>
      </c>
      <c r="C16" s="22">
        <v>10422006</v>
      </c>
      <c r="D16" s="22" t="s">
        <v>44</v>
      </c>
      <c r="E16" s="22" t="s">
        <v>39</v>
      </c>
      <c r="F16" s="21">
        <v>1</v>
      </c>
      <c r="G16" s="22" t="s">
        <v>45</v>
      </c>
      <c r="H16" s="45">
        <v>10</v>
      </c>
      <c r="I16" s="45">
        <v>10</v>
      </c>
      <c r="J16" s="2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 x14ac:dyDescent="0.3">
      <c r="A17" s="21">
        <v>9</v>
      </c>
      <c r="B17" s="22" t="s">
        <v>30</v>
      </c>
      <c r="C17" s="22">
        <v>10422009</v>
      </c>
      <c r="D17" s="22" t="s">
        <v>46</v>
      </c>
      <c r="E17" s="22" t="s">
        <v>39</v>
      </c>
      <c r="F17" s="21">
        <v>1</v>
      </c>
      <c r="G17" s="22" t="s">
        <v>47</v>
      </c>
      <c r="H17" s="45">
        <v>8</v>
      </c>
      <c r="I17" s="45">
        <v>10</v>
      </c>
      <c r="J17" s="45" t="s">
        <v>361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 x14ac:dyDescent="0.3">
      <c r="A18" s="21">
        <v>10</v>
      </c>
      <c r="B18" s="27" t="s">
        <v>30</v>
      </c>
      <c r="C18" s="27">
        <v>10422086</v>
      </c>
      <c r="D18" s="27" t="s">
        <v>48</v>
      </c>
      <c r="E18" s="27" t="s">
        <v>39</v>
      </c>
      <c r="F18" s="28">
        <v>1</v>
      </c>
      <c r="G18" s="27" t="s">
        <v>49</v>
      </c>
      <c r="H18" s="45">
        <v>10</v>
      </c>
      <c r="I18" s="45">
        <v>10</v>
      </c>
      <c r="J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 x14ac:dyDescent="0.3">
      <c r="A19" s="21">
        <v>11</v>
      </c>
      <c r="B19" s="22" t="s">
        <v>30</v>
      </c>
      <c r="C19" s="22">
        <v>10422087</v>
      </c>
      <c r="D19" s="22" t="s">
        <v>51</v>
      </c>
      <c r="E19" s="22" t="s">
        <v>52</v>
      </c>
      <c r="F19" s="21">
        <v>1</v>
      </c>
      <c r="G19" s="22" t="s">
        <v>53</v>
      </c>
      <c r="H19" s="45">
        <v>10</v>
      </c>
      <c r="I19" s="45">
        <v>10</v>
      </c>
      <c r="J19" s="2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 x14ac:dyDescent="0.3">
      <c r="A20" s="21">
        <v>12</v>
      </c>
      <c r="B20" s="29" t="s">
        <v>30</v>
      </c>
      <c r="C20" s="29">
        <v>10421069</v>
      </c>
      <c r="D20" s="29" t="s">
        <v>54</v>
      </c>
      <c r="E20" s="29" t="s">
        <v>55</v>
      </c>
      <c r="F20" s="30">
        <v>1</v>
      </c>
      <c r="G20" s="29" t="s">
        <v>56</v>
      </c>
      <c r="H20" s="22"/>
      <c r="I20" s="45">
        <v>10</v>
      </c>
      <c r="J20" s="2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 x14ac:dyDescent="0.3">
      <c r="A21" s="21">
        <v>13</v>
      </c>
      <c r="B21" s="22" t="s">
        <v>30</v>
      </c>
      <c r="C21" s="22">
        <v>10421125</v>
      </c>
      <c r="D21" s="22" t="s">
        <v>57</v>
      </c>
      <c r="E21" s="22" t="s">
        <v>55</v>
      </c>
      <c r="F21" s="21">
        <v>1</v>
      </c>
      <c r="G21" s="22" t="s">
        <v>58</v>
      </c>
      <c r="H21" s="22"/>
      <c r="I21" s="45">
        <v>10</v>
      </c>
      <c r="J21" s="2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 x14ac:dyDescent="0.3">
      <c r="A22" s="21">
        <v>14</v>
      </c>
      <c r="B22" s="22" t="s">
        <v>30</v>
      </c>
      <c r="C22" s="22">
        <v>10422011</v>
      </c>
      <c r="D22" s="22" t="s">
        <v>59</v>
      </c>
      <c r="E22" s="22" t="s">
        <v>55</v>
      </c>
      <c r="F22" s="21">
        <v>1</v>
      </c>
      <c r="G22" s="22" t="s">
        <v>60</v>
      </c>
      <c r="H22" s="45">
        <v>10</v>
      </c>
      <c r="I22" s="45">
        <v>10</v>
      </c>
      <c r="J22" s="22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 x14ac:dyDescent="0.3">
      <c r="A23" s="21">
        <v>15</v>
      </c>
      <c r="B23" s="22" t="s">
        <v>30</v>
      </c>
      <c r="C23" s="22">
        <v>10422012</v>
      </c>
      <c r="D23" s="22" t="s">
        <v>61</v>
      </c>
      <c r="E23" s="22" t="s">
        <v>55</v>
      </c>
      <c r="F23" s="21">
        <v>1</v>
      </c>
      <c r="G23" s="22" t="s">
        <v>62</v>
      </c>
      <c r="H23" s="45">
        <v>10</v>
      </c>
      <c r="I23" s="45">
        <v>10</v>
      </c>
      <c r="J23" s="45" t="s">
        <v>362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 x14ac:dyDescent="0.3">
      <c r="A24" s="21">
        <v>16</v>
      </c>
      <c r="B24" s="22" t="s">
        <v>30</v>
      </c>
      <c r="C24" s="22">
        <v>10422013</v>
      </c>
      <c r="D24" s="22" t="s">
        <v>63</v>
      </c>
      <c r="E24" s="22" t="s">
        <v>55</v>
      </c>
      <c r="F24" s="21">
        <v>1</v>
      </c>
      <c r="G24" s="22" t="s">
        <v>64</v>
      </c>
      <c r="H24" s="45">
        <v>10</v>
      </c>
      <c r="I24" s="45">
        <v>10</v>
      </c>
      <c r="J24" s="22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 x14ac:dyDescent="0.3">
      <c r="A25" s="21">
        <v>17</v>
      </c>
      <c r="B25" s="22" t="s">
        <v>30</v>
      </c>
      <c r="C25" s="22">
        <v>10422014</v>
      </c>
      <c r="D25" s="22" t="s">
        <v>65</v>
      </c>
      <c r="E25" s="22" t="s">
        <v>55</v>
      </c>
      <c r="F25" s="21">
        <v>1</v>
      </c>
      <c r="G25" s="22" t="s">
        <v>66</v>
      </c>
      <c r="H25" s="45">
        <v>0</v>
      </c>
      <c r="I25" s="45">
        <v>10</v>
      </c>
      <c r="J25" s="45" t="s">
        <v>363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 x14ac:dyDescent="0.3">
      <c r="A26" s="21">
        <v>18</v>
      </c>
      <c r="B26" s="22" t="s">
        <v>30</v>
      </c>
      <c r="C26" s="22">
        <v>10422015</v>
      </c>
      <c r="D26" s="22" t="s">
        <v>67</v>
      </c>
      <c r="E26" s="22" t="s">
        <v>55</v>
      </c>
      <c r="F26" s="21">
        <v>1</v>
      </c>
      <c r="G26" s="22" t="s">
        <v>68</v>
      </c>
      <c r="H26" s="45">
        <v>10</v>
      </c>
      <c r="I26" s="45">
        <v>10</v>
      </c>
      <c r="J26" s="22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 x14ac:dyDescent="0.3">
      <c r="A27" s="21">
        <v>19</v>
      </c>
      <c r="B27" s="22" t="s">
        <v>30</v>
      </c>
      <c r="C27" s="22">
        <v>10422123</v>
      </c>
      <c r="D27" s="22" t="s">
        <v>59</v>
      </c>
      <c r="E27" s="22" t="s">
        <v>55</v>
      </c>
      <c r="F27" s="21">
        <v>1</v>
      </c>
      <c r="G27" s="22" t="s">
        <v>69</v>
      </c>
      <c r="H27" s="45">
        <v>0</v>
      </c>
      <c r="I27" s="45">
        <v>10</v>
      </c>
      <c r="J27" s="45" t="s">
        <v>364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 x14ac:dyDescent="0.3">
      <c r="A28" s="21">
        <v>20</v>
      </c>
      <c r="B28" s="22" t="s">
        <v>30</v>
      </c>
      <c r="C28" s="22">
        <v>10422089</v>
      </c>
      <c r="D28" s="22" t="s">
        <v>70</v>
      </c>
      <c r="E28" s="22" t="s">
        <v>71</v>
      </c>
      <c r="F28" s="21">
        <v>1</v>
      </c>
      <c r="G28" s="22" t="s">
        <v>72</v>
      </c>
      <c r="H28" s="22"/>
      <c r="I28" s="45">
        <v>10</v>
      </c>
      <c r="J28" s="22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 x14ac:dyDescent="0.3">
      <c r="A29" s="21">
        <v>21</v>
      </c>
      <c r="B29" s="22" t="s">
        <v>30</v>
      </c>
      <c r="C29" s="22">
        <v>10422017</v>
      </c>
      <c r="D29" s="22" t="s">
        <v>73</v>
      </c>
      <c r="E29" s="22" t="s">
        <v>74</v>
      </c>
      <c r="F29" s="21">
        <v>1</v>
      </c>
      <c r="G29" s="22" t="s">
        <v>75</v>
      </c>
      <c r="H29" s="22"/>
      <c r="I29" s="45">
        <v>10</v>
      </c>
      <c r="J29" s="2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 x14ac:dyDescent="0.3">
      <c r="A30" s="21">
        <v>22</v>
      </c>
      <c r="B30" s="22" t="s">
        <v>30</v>
      </c>
      <c r="C30" s="22">
        <v>10422091</v>
      </c>
      <c r="D30" s="22" t="s">
        <v>76</v>
      </c>
      <c r="E30" s="22" t="s">
        <v>74</v>
      </c>
      <c r="F30" s="21">
        <v>1</v>
      </c>
      <c r="G30" s="22" t="s">
        <v>77</v>
      </c>
      <c r="H30" s="45">
        <v>4</v>
      </c>
      <c r="I30" s="45">
        <v>10</v>
      </c>
      <c r="J30" s="45" t="s">
        <v>365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 x14ac:dyDescent="0.3">
      <c r="A31" s="21">
        <v>23</v>
      </c>
      <c r="B31" s="22" t="s">
        <v>30</v>
      </c>
      <c r="C31" s="22">
        <v>10422018</v>
      </c>
      <c r="D31" s="22" t="s">
        <v>78</v>
      </c>
      <c r="E31" s="22" t="s">
        <v>79</v>
      </c>
      <c r="F31" s="21">
        <v>1</v>
      </c>
      <c r="G31" s="22" t="s">
        <v>80</v>
      </c>
      <c r="H31" s="22"/>
      <c r="I31" s="45">
        <v>10</v>
      </c>
      <c r="J31" s="2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 x14ac:dyDescent="0.3">
      <c r="A32" s="21">
        <v>24</v>
      </c>
      <c r="B32" s="22" t="s">
        <v>30</v>
      </c>
      <c r="C32" s="22">
        <v>10422019</v>
      </c>
      <c r="D32" s="22" t="s">
        <v>81</v>
      </c>
      <c r="E32" s="22" t="s">
        <v>82</v>
      </c>
      <c r="F32" s="21">
        <v>1</v>
      </c>
      <c r="G32" s="22" t="s">
        <v>83</v>
      </c>
      <c r="H32" s="45">
        <v>10</v>
      </c>
      <c r="I32" s="45">
        <v>10</v>
      </c>
      <c r="J32" s="22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 x14ac:dyDescent="0.3">
      <c r="A33" s="21">
        <v>25</v>
      </c>
      <c r="B33" s="22" t="s">
        <v>30</v>
      </c>
      <c r="C33" s="22">
        <v>10422092</v>
      </c>
      <c r="D33" s="22" t="s">
        <v>84</v>
      </c>
      <c r="E33" s="22" t="s">
        <v>82</v>
      </c>
      <c r="F33" s="21">
        <v>1</v>
      </c>
      <c r="G33" s="22" t="s">
        <v>85</v>
      </c>
      <c r="H33" s="45">
        <v>10</v>
      </c>
      <c r="I33" s="45">
        <v>10</v>
      </c>
      <c r="J33" s="2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 x14ac:dyDescent="0.3">
      <c r="A34" s="21">
        <v>26</v>
      </c>
      <c r="B34" s="22" t="s">
        <v>30</v>
      </c>
      <c r="C34" s="22">
        <v>10422020</v>
      </c>
      <c r="D34" s="22" t="s">
        <v>86</v>
      </c>
      <c r="E34" s="22" t="s">
        <v>87</v>
      </c>
      <c r="F34" s="21">
        <v>1</v>
      </c>
      <c r="G34" s="22" t="s">
        <v>88</v>
      </c>
      <c r="H34" s="45">
        <v>8</v>
      </c>
      <c r="I34" s="45">
        <v>10</v>
      </c>
      <c r="J34" s="45" t="s">
        <v>366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x14ac:dyDescent="0.3">
      <c r="A35" s="21">
        <v>27</v>
      </c>
      <c r="B35" s="22" t="s">
        <v>30</v>
      </c>
      <c r="C35" s="22">
        <v>10422093</v>
      </c>
      <c r="D35" s="22" t="s">
        <v>89</v>
      </c>
      <c r="E35" s="22" t="s">
        <v>87</v>
      </c>
      <c r="F35" s="21">
        <v>1</v>
      </c>
      <c r="G35" s="22" t="s">
        <v>90</v>
      </c>
      <c r="H35" s="45">
        <v>10</v>
      </c>
      <c r="I35" s="45">
        <v>10</v>
      </c>
      <c r="J35" s="2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 x14ac:dyDescent="0.3">
      <c r="A36" s="21">
        <v>28</v>
      </c>
      <c r="B36" s="22" t="s">
        <v>30</v>
      </c>
      <c r="C36" s="22">
        <v>10422021</v>
      </c>
      <c r="D36" s="22" t="s">
        <v>91</v>
      </c>
      <c r="E36" s="22" t="s">
        <v>92</v>
      </c>
      <c r="F36" s="21">
        <v>1</v>
      </c>
      <c r="G36" s="22" t="s">
        <v>93</v>
      </c>
      <c r="H36" s="45">
        <v>10</v>
      </c>
      <c r="I36" s="45">
        <v>10</v>
      </c>
      <c r="J36" s="22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 x14ac:dyDescent="0.3">
      <c r="A37" s="21">
        <v>29</v>
      </c>
      <c r="B37" s="22" t="s">
        <v>30</v>
      </c>
      <c r="C37" s="22">
        <v>17417</v>
      </c>
      <c r="D37" s="22" t="s">
        <v>23</v>
      </c>
      <c r="E37" s="22" t="s">
        <v>94</v>
      </c>
      <c r="F37" s="21">
        <v>1</v>
      </c>
      <c r="G37" s="22" t="s">
        <v>95</v>
      </c>
      <c r="H37" s="22"/>
      <c r="I37" s="45">
        <v>10</v>
      </c>
      <c r="J37" s="2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 x14ac:dyDescent="0.3">
      <c r="A38" s="21">
        <v>30</v>
      </c>
      <c r="B38" s="22" t="s">
        <v>30</v>
      </c>
      <c r="C38" s="22">
        <v>10422022</v>
      </c>
      <c r="D38" s="22" t="s">
        <v>96</v>
      </c>
      <c r="E38" s="22" t="s">
        <v>94</v>
      </c>
      <c r="F38" s="21">
        <v>1</v>
      </c>
      <c r="G38" s="22" t="s">
        <v>97</v>
      </c>
      <c r="H38" s="45">
        <v>10</v>
      </c>
      <c r="I38" s="45">
        <v>10</v>
      </c>
      <c r="J38" s="22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 x14ac:dyDescent="0.3">
      <c r="A39" s="21">
        <v>31</v>
      </c>
      <c r="B39" s="22" t="s">
        <v>30</v>
      </c>
      <c r="C39" s="22">
        <v>10422023</v>
      </c>
      <c r="D39" s="22" t="s">
        <v>98</v>
      </c>
      <c r="E39" s="22" t="s">
        <v>94</v>
      </c>
      <c r="F39" s="21">
        <v>1</v>
      </c>
      <c r="G39" s="22" t="s">
        <v>99</v>
      </c>
      <c r="H39" s="45">
        <v>10</v>
      </c>
      <c r="I39" s="45">
        <v>10</v>
      </c>
      <c r="J39" s="2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 x14ac:dyDescent="0.3">
      <c r="A40" s="21">
        <v>32</v>
      </c>
      <c r="B40" s="22" t="s">
        <v>30</v>
      </c>
      <c r="C40" s="22">
        <v>10422024</v>
      </c>
      <c r="D40" s="22" t="s">
        <v>101</v>
      </c>
      <c r="E40" s="22" t="s">
        <v>102</v>
      </c>
      <c r="F40" s="21">
        <v>1</v>
      </c>
      <c r="G40" s="22" t="s">
        <v>103</v>
      </c>
      <c r="H40" s="45">
        <v>10</v>
      </c>
      <c r="I40" s="45">
        <v>10</v>
      </c>
      <c r="J40" s="22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 x14ac:dyDescent="0.3">
      <c r="A41" s="21">
        <v>33</v>
      </c>
      <c r="B41" s="22" t="s">
        <v>30</v>
      </c>
      <c r="C41" s="22">
        <v>10421015</v>
      </c>
      <c r="D41" s="22" t="s">
        <v>104</v>
      </c>
      <c r="E41" s="22" t="s">
        <v>105</v>
      </c>
      <c r="F41" s="21">
        <v>1</v>
      </c>
      <c r="G41" s="22" t="s">
        <v>106</v>
      </c>
      <c r="H41" s="45">
        <v>10</v>
      </c>
      <c r="I41" s="45">
        <v>10</v>
      </c>
      <c r="J41" s="2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 x14ac:dyDescent="0.3">
      <c r="A42" s="21">
        <v>34</v>
      </c>
      <c r="B42" s="22" t="s">
        <v>30</v>
      </c>
      <c r="C42" s="22">
        <v>10422025</v>
      </c>
      <c r="D42" s="22" t="s">
        <v>107</v>
      </c>
      <c r="E42" s="22" t="s">
        <v>108</v>
      </c>
      <c r="F42" s="21">
        <v>1</v>
      </c>
      <c r="G42" s="22" t="s">
        <v>109</v>
      </c>
      <c r="H42" s="45">
        <v>10</v>
      </c>
      <c r="I42" s="45">
        <v>10</v>
      </c>
      <c r="J42" s="22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 x14ac:dyDescent="0.3">
      <c r="A43" s="21">
        <v>35</v>
      </c>
      <c r="B43" s="22" t="s">
        <v>30</v>
      </c>
      <c r="C43" s="22">
        <v>10422094</v>
      </c>
      <c r="D43" s="22" t="s">
        <v>111</v>
      </c>
      <c r="E43" s="22" t="s">
        <v>108</v>
      </c>
      <c r="F43" s="21">
        <v>1</v>
      </c>
      <c r="G43" s="22" t="s">
        <v>112</v>
      </c>
      <c r="H43" s="45">
        <v>8</v>
      </c>
      <c r="I43" s="45">
        <v>10</v>
      </c>
      <c r="J43" s="45" t="s">
        <v>367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 x14ac:dyDescent="0.3">
      <c r="A44" s="21">
        <v>36</v>
      </c>
      <c r="B44" s="22" t="s">
        <v>30</v>
      </c>
      <c r="C44" s="22">
        <v>10422095</v>
      </c>
      <c r="D44" s="22" t="s">
        <v>113</v>
      </c>
      <c r="E44" s="22" t="s">
        <v>114</v>
      </c>
      <c r="F44" s="21">
        <v>1</v>
      </c>
      <c r="G44" s="22" t="s">
        <v>115</v>
      </c>
      <c r="H44" s="45">
        <v>10</v>
      </c>
      <c r="I44" s="45">
        <v>10</v>
      </c>
      <c r="J44" s="22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 x14ac:dyDescent="0.3">
      <c r="A45" s="21">
        <v>37</v>
      </c>
      <c r="B45" s="22" t="s">
        <v>30</v>
      </c>
      <c r="C45" s="22">
        <v>10422026</v>
      </c>
      <c r="D45" s="22" t="s">
        <v>116</v>
      </c>
      <c r="E45" s="22" t="s">
        <v>117</v>
      </c>
      <c r="F45" s="21">
        <v>1</v>
      </c>
      <c r="G45" s="22" t="s">
        <v>118</v>
      </c>
      <c r="H45" s="45">
        <v>10</v>
      </c>
      <c r="I45" s="45">
        <v>10</v>
      </c>
      <c r="J45" s="2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 x14ac:dyDescent="0.3">
      <c r="A46" s="21">
        <v>38</v>
      </c>
      <c r="B46" s="22" t="s">
        <v>30</v>
      </c>
      <c r="C46" s="22">
        <v>10422027</v>
      </c>
      <c r="D46" s="22" t="s">
        <v>119</v>
      </c>
      <c r="E46" s="22" t="s">
        <v>120</v>
      </c>
      <c r="F46" s="21">
        <v>1</v>
      </c>
      <c r="G46" s="22" t="s">
        <v>121</v>
      </c>
      <c r="H46" s="45">
        <v>10</v>
      </c>
      <c r="I46" s="45">
        <v>10</v>
      </c>
      <c r="J46" s="22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 x14ac:dyDescent="0.3">
      <c r="A47" s="21">
        <v>39</v>
      </c>
      <c r="B47" s="22" t="s">
        <v>30</v>
      </c>
      <c r="C47" s="22">
        <v>10422028</v>
      </c>
      <c r="D47" s="22" t="s">
        <v>122</v>
      </c>
      <c r="E47" s="22" t="s">
        <v>123</v>
      </c>
      <c r="F47" s="21">
        <v>1</v>
      </c>
      <c r="G47" s="22" t="s">
        <v>124</v>
      </c>
      <c r="H47" s="22"/>
      <c r="I47" s="45"/>
      <c r="J47" s="22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 x14ac:dyDescent="0.3">
      <c r="A48" s="21">
        <v>40</v>
      </c>
      <c r="B48" s="22" t="s">
        <v>30</v>
      </c>
      <c r="C48" s="45">
        <v>10422029</v>
      </c>
      <c r="D48" s="22" t="s">
        <v>126</v>
      </c>
      <c r="E48" s="22" t="s">
        <v>123</v>
      </c>
      <c r="F48" s="21">
        <v>1</v>
      </c>
      <c r="G48" s="22" t="s">
        <v>127</v>
      </c>
      <c r="H48" s="45">
        <v>0</v>
      </c>
      <c r="I48" s="45">
        <v>10</v>
      </c>
      <c r="J48" s="45" t="s">
        <v>368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 x14ac:dyDescent="0.3">
      <c r="A49" s="21">
        <v>41</v>
      </c>
      <c r="B49" s="22" t="s">
        <v>30</v>
      </c>
      <c r="C49" s="22">
        <v>10422031</v>
      </c>
      <c r="D49" s="22" t="s">
        <v>129</v>
      </c>
      <c r="E49" s="22" t="s">
        <v>130</v>
      </c>
      <c r="F49" s="21">
        <v>1</v>
      </c>
      <c r="G49" s="22" t="s">
        <v>131</v>
      </c>
      <c r="H49" s="45">
        <v>10</v>
      </c>
      <c r="I49" s="45">
        <v>10</v>
      </c>
      <c r="J49" s="22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 x14ac:dyDescent="0.3">
      <c r="A50" s="21">
        <v>42</v>
      </c>
      <c r="B50" s="22" t="s">
        <v>30</v>
      </c>
      <c r="C50" s="22">
        <v>10422032</v>
      </c>
      <c r="D50" s="22" t="s">
        <v>132</v>
      </c>
      <c r="E50" s="22" t="s">
        <v>130</v>
      </c>
      <c r="F50" s="21">
        <v>1</v>
      </c>
      <c r="G50" s="22" t="s">
        <v>133</v>
      </c>
      <c r="H50" s="22"/>
      <c r="I50" s="45"/>
      <c r="J50" s="22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 x14ac:dyDescent="0.3">
      <c r="A51" s="21">
        <v>43</v>
      </c>
      <c r="B51" s="22" t="s">
        <v>30</v>
      </c>
      <c r="C51" s="22">
        <v>10422033</v>
      </c>
      <c r="D51" s="22" t="s">
        <v>134</v>
      </c>
      <c r="E51" s="22" t="s">
        <v>135</v>
      </c>
      <c r="F51" s="21">
        <v>1</v>
      </c>
      <c r="G51" s="22" t="s">
        <v>136</v>
      </c>
      <c r="H51" s="45">
        <v>0</v>
      </c>
      <c r="I51" s="45">
        <v>10</v>
      </c>
      <c r="J51" s="45" t="s">
        <v>360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 x14ac:dyDescent="0.3">
      <c r="A52" s="21">
        <v>44</v>
      </c>
      <c r="B52" s="22" t="s">
        <v>30</v>
      </c>
      <c r="C52" s="22">
        <v>10422097</v>
      </c>
      <c r="D52" s="22" t="s">
        <v>138</v>
      </c>
      <c r="E52" s="22" t="s">
        <v>135</v>
      </c>
      <c r="F52" s="21">
        <v>1</v>
      </c>
      <c r="G52" s="22" t="s">
        <v>139</v>
      </c>
      <c r="H52" s="45">
        <v>0</v>
      </c>
      <c r="I52" s="45"/>
      <c r="J52" s="45" t="s">
        <v>369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 x14ac:dyDescent="0.3">
      <c r="A53" s="21">
        <v>45</v>
      </c>
      <c r="B53" s="22" t="s">
        <v>30</v>
      </c>
      <c r="C53" s="22">
        <v>10422098</v>
      </c>
      <c r="D53" s="22" t="s">
        <v>141</v>
      </c>
      <c r="E53" s="22" t="s">
        <v>135</v>
      </c>
      <c r="F53" s="21">
        <v>1</v>
      </c>
      <c r="G53" s="22" t="s">
        <v>142</v>
      </c>
      <c r="H53" s="45">
        <v>10</v>
      </c>
      <c r="I53" s="45">
        <v>10</v>
      </c>
      <c r="J53" s="4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 x14ac:dyDescent="0.3">
      <c r="A54" s="21">
        <v>46</v>
      </c>
      <c r="B54" s="22" t="s">
        <v>30</v>
      </c>
      <c r="C54" s="22">
        <v>10422100</v>
      </c>
      <c r="D54" s="22" t="s">
        <v>89</v>
      </c>
      <c r="E54" s="22" t="s">
        <v>135</v>
      </c>
      <c r="F54" s="21">
        <v>1</v>
      </c>
      <c r="G54" s="22" t="s">
        <v>144</v>
      </c>
      <c r="H54" s="45">
        <v>10</v>
      </c>
      <c r="I54" s="45">
        <v>10</v>
      </c>
      <c r="J54" s="22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 x14ac:dyDescent="0.3">
      <c r="A55" s="21">
        <v>47</v>
      </c>
      <c r="B55" s="22" t="s">
        <v>30</v>
      </c>
      <c r="C55" s="22">
        <v>10422101</v>
      </c>
      <c r="D55" s="22" t="s">
        <v>145</v>
      </c>
      <c r="E55" s="22" t="s">
        <v>146</v>
      </c>
      <c r="F55" s="21">
        <v>1</v>
      </c>
      <c r="G55" s="22" t="s">
        <v>147</v>
      </c>
      <c r="H55" s="45">
        <v>10</v>
      </c>
      <c r="I55" s="45">
        <v>10</v>
      </c>
      <c r="J55" s="22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 x14ac:dyDescent="0.3">
      <c r="A56" s="21">
        <v>48</v>
      </c>
      <c r="B56" s="22" t="s">
        <v>30</v>
      </c>
      <c r="C56" s="22">
        <v>10422103</v>
      </c>
      <c r="D56" s="22" t="s">
        <v>149</v>
      </c>
      <c r="E56" s="22" t="s">
        <v>150</v>
      </c>
      <c r="F56" s="21">
        <v>1</v>
      </c>
      <c r="G56" s="22" t="s">
        <v>151</v>
      </c>
      <c r="H56" s="45">
        <v>10</v>
      </c>
      <c r="I56" s="45">
        <v>10</v>
      </c>
      <c r="J56" s="22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 x14ac:dyDescent="0.3">
      <c r="A57" s="21">
        <v>49</v>
      </c>
      <c r="B57" s="22" t="s">
        <v>30</v>
      </c>
      <c r="C57" s="22">
        <v>10421026</v>
      </c>
      <c r="D57" s="22" t="s">
        <v>153</v>
      </c>
      <c r="E57" s="22" t="s">
        <v>154</v>
      </c>
      <c r="F57" s="21">
        <v>1</v>
      </c>
      <c r="G57" s="22" t="s">
        <v>155</v>
      </c>
      <c r="H57" s="45">
        <v>10</v>
      </c>
      <c r="I57" s="45">
        <v>10</v>
      </c>
      <c r="J57" s="22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 x14ac:dyDescent="0.3">
      <c r="A58" s="21">
        <v>50</v>
      </c>
      <c r="B58" s="22" t="s">
        <v>30</v>
      </c>
      <c r="C58" s="22">
        <v>10422035</v>
      </c>
      <c r="D58" s="22" t="s">
        <v>157</v>
      </c>
      <c r="E58" s="22" t="s">
        <v>154</v>
      </c>
      <c r="F58" s="21">
        <v>1</v>
      </c>
      <c r="G58" s="22" t="s">
        <v>158</v>
      </c>
      <c r="H58" s="45">
        <v>0</v>
      </c>
      <c r="I58" s="45">
        <v>10</v>
      </c>
      <c r="J58" s="45" t="s">
        <v>360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.75" customHeight="1" x14ac:dyDescent="0.3">
      <c r="A59" s="21">
        <v>51</v>
      </c>
      <c r="B59" s="22" t="s">
        <v>30</v>
      </c>
      <c r="C59" s="22">
        <v>10422036</v>
      </c>
      <c r="D59" s="22" t="s">
        <v>159</v>
      </c>
      <c r="E59" s="22" t="s">
        <v>154</v>
      </c>
      <c r="F59" s="21">
        <v>1</v>
      </c>
      <c r="G59" s="22" t="s">
        <v>160</v>
      </c>
      <c r="H59" s="45">
        <v>10</v>
      </c>
      <c r="I59" s="45">
        <v>10</v>
      </c>
      <c r="J59" s="22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.75" customHeight="1" x14ac:dyDescent="0.3">
      <c r="A60" s="21">
        <v>52</v>
      </c>
      <c r="B60" s="22" t="s">
        <v>30</v>
      </c>
      <c r="C60" s="22">
        <v>10422037</v>
      </c>
      <c r="D60" s="22" t="s">
        <v>162</v>
      </c>
      <c r="E60" s="22" t="s">
        <v>154</v>
      </c>
      <c r="F60" s="21">
        <v>1</v>
      </c>
      <c r="G60" s="22" t="s">
        <v>163</v>
      </c>
      <c r="H60" s="22"/>
      <c r="I60" s="45"/>
      <c r="J60" s="22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75" customHeight="1" x14ac:dyDescent="0.3">
      <c r="A61" s="21">
        <v>53</v>
      </c>
      <c r="B61" s="22" t="s">
        <v>30</v>
      </c>
      <c r="C61" s="22">
        <v>10422104</v>
      </c>
      <c r="D61" s="22" t="s">
        <v>165</v>
      </c>
      <c r="E61" s="22" t="s">
        <v>154</v>
      </c>
      <c r="F61" s="21">
        <v>1</v>
      </c>
      <c r="G61" s="22" t="s">
        <v>166</v>
      </c>
      <c r="H61" s="22"/>
      <c r="I61" s="45"/>
      <c r="J61" s="22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75" customHeight="1" x14ac:dyDescent="0.3">
      <c r="A62" s="21">
        <v>54</v>
      </c>
      <c r="B62" s="22" t="s">
        <v>30</v>
      </c>
      <c r="C62" s="22">
        <v>10422039</v>
      </c>
      <c r="D62" s="22" t="s">
        <v>167</v>
      </c>
      <c r="E62" s="22" t="s">
        <v>168</v>
      </c>
      <c r="F62" s="21">
        <v>1</v>
      </c>
      <c r="G62" s="22" t="s">
        <v>169</v>
      </c>
      <c r="H62" s="45">
        <v>10</v>
      </c>
      <c r="I62" s="45">
        <v>10</v>
      </c>
      <c r="J62" s="22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75" customHeight="1" x14ac:dyDescent="0.3">
      <c r="A63" s="21">
        <v>55</v>
      </c>
      <c r="B63" s="22" t="s">
        <v>30</v>
      </c>
      <c r="C63" s="22">
        <v>10422040</v>
      </c>
      <c r="D63" s="22" t="s">
        <v>170</v>
      </c>
      <c r="E63" s="22" t="s">
        <v>171</v>
      </c>
      <c r="F63" s="21">
        <v>1</v>
      </c>
      <c r="G63" s="22" t="s">
        <v>172</v>
      </c>
      <c r="H63" s="45">
        <v>10</v>
      </c>
      <c r="I63" s="45">
        <v>10</v>
      </c>
      <c r="J63" s="22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75" customHeight="1" x14ac:dyDescent="0.3">
      <c r="A64" s="21">
        <v>56</v>
      </c>
      <c r="B64" s="22" t="s">
        <v>30</v>
      </c>
      <c r="C64" s="22">
        <v>10422041</v>
      </c>
      <c r="D64" s="22" t="s">
        <v>174</v>
      </c>
      <c r="E64" s="22" t="s">
        <v>175</v>
      </c>
      <c r="F64" s="21">
        <v>1</v>
      </c>
      <c r="G64" s="22" t="s">
        <v>176</v>
      </c>
      <c r="H64" s="45">
        <v>0</v>
      </c>
      <c r="I64" s="45">
        <v>10</v>
      </c>
      <c r="J64" s="45" t="s">
        <v>370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.75" customHeight="1" x14ac:dyDescent="0.3">
      <c r="A65" s="21">
        <v>57</v>
      </c>
      <c r="B65" s="22" t="s">
        <v>30</v>
      </c>
      <c r="C65" s="22">
        <v>10422042</v>
      </c>
      <c r="D65" s="22" t="s">
        <v>178</v>
      </c>
      <c r="E65" s="22" t="s">
        <v>179</v>
      </c>
      <c r="F65" s="21">
        <v>1</v>
      </c>
      <c r="G65" s="22" t="s">
        <v>180</v>
      </c>
      <c r="H65" s="45">
        <v>0</v>
      </c>
      <c r="I65" s="45">
        <v>10</v>
      </c>
      <c r="J65" s="45" t="s">
        <v>363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75" customHeight="1" x14ac:dyDescent="0.3">
      <c r="A66" s="21">
        <v>58</v>
      </c>
      <c r="B66" s="22" t="s">
        <v>30</v>
      </c>
      <c r="C66" s="22">
        <v>10422105</v>
      </c>
      <c r="D66" s="22" t="s">
        <v>182</v>
      </c>
      <c r="E66" s="22" t="s">
        <v>179</v>
      </c>
      <c r="F66" s="21">
        <v>1</v>
      </c>
      <c r="G66" s="22" t="s">
        <v>183</v>
      </c>
      <c r="H66" s="45">
        <v>6</v>
      </c>
      <c r="I66" s="45">
        <v>10</v>
      </c>
      <c r="J66" s="45" t="s">
        <v>371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.75" customHeight="1" x14ac:dyDescent="0.3">
      <c r="A67" s="21">
        <v>59</v>
      </c>
      <c r="B67" s="22" t="s">
        <v>30</v>
      </c>
      <c r="C67" s="22">
        <v>10422043</v>
      </c>
      <c r="D67" s="22" t="s">
        <v>185</v>
      </c>
      <c r="E67" s="22" t="s">
        <v>186</v>
      </c>
      <c r="F67" s="21">
        <v>1</v>
      </c>
      <c r="G67" s="22" t="s">
        <v>187</v>
      </c>
      <c r="H67" s="45">
        <v>10</v>
      </c>
      <c r="I67" s="45">
        <v>10</v>
      </c>
      <c r="J67" s="22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75" customHeight="1" x14ac:dyDescent="0.3">
      <c r="A68" s="21">
        <v>60</v>
      </c>
      <c r="B68" s="22" t="s">
        <v>30</v>
      </c>
      <c r="C68" s="22">
        <v>10422106</v>
      </c>
      <c r="D68" s="22" t="s">
        <v>188</v>
      </c>
      <c r="E68" s="22" t="s">
        <v>189</v>
      </c>
      <c r="F68" s="21">
        <v>1</v>
      </c>
      <c r="G68" s="22" t="s">
        <v>190</v>
      </c>
      <c r="H68" s="45">
        <v>10</v>
      </c>
      <c r="I68" s="45">
        <v>10</v>
      </c>
      <c r="J68" s="4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75" customHeight="1" x14ac:dyDescent="0.3">
      <c r="A69" s="21">
        <v>61</v>
      </c>
      <c r="B69" s="22" t="s">
        <v>30</v>
      </c>
      <c r="C69" s="22">
        <v>10422044</v>
      </c>
      <c r="D69" s="22" t="s">
        <v>191</v>
      </c>
      <c r="E69" s="22" t="s">
        <v>192</v>
      </c>
      <c r="F69" s="21">
        <v>1</v>
      </c>
      <c r="G69" s="22" t="s">
        <v>193</v>
      </c>
      <c r="H69" s="45">
        <v>10</v>
      </c>
      <c r="I69" s="45">
        <v>10</v>
      </c>
      <c r="J69" s="22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.75" customHeight="1" x14ac:dyDescent="0.3">
      <c r="A70" s="21">
        <v>62</v>
      </c>
      <c r="B70" s="22" t="s">
        <v>30</v>
      </c>
      <c r="C70" s="22">
        <v>10422045</v>
      </c>
      <c r="D70" s="22" t="s">
        <v>194</v>
      </c>
      <c r="E70" s="22" t="s">
        <v>192</v>
      </c>
      <c r="F70" s="21">
        <v>1</v>
      </c>
      <c r="G70" s="22" t="s">
        <v>195</v>
      </c>
      <c r="H70" s="45">
        <v>10</v>
      </c>
      <c r="I70" s="45">
        <v>10</v>
      </c>
      <c r="J70" s="22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.75" customHeight="1" x14ac:dyDescent="0.3">
      <c r="A71" s="21">
        <v>63</v>
      </c>
      <c r="B71" s="22" t="s">
        <v>30</v>
      </c>
      <c r="C71" s="22">
        <v>10422046</v>
      </c>
      <c r="D71" s="22" t="s">
        <v>196</v>
      </c>
      <c r="E71" s="22" t="s">
        <v>192</v>
      </c>
      <c r="F71" s="21">
        <v>1</v>
      </c>
      <c r="G71" s="22" t="s">
        <v>197</v>
      </c>
      <c r="H71" s="45">
        <v>10</v>
      </c>
      <c r="I71" s="45">
        <v>10</v>
      </c>
      <c r="J71" s="45" t="s">
        <v>372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.75" customHeight="1" x14ac:dyDescent="0.3">
      <c r="A72" s="21">
        <v>64</v>
      </c>
      <c r="B72" s="22" t="s">
        <v>30</v>
      </c>
      <c r="C72" s="22">
        <v>10422047</v>
      </c>
      <c r="D72" s="22" t="s">
        <v>31</v>
      </c>
      <c r="E72" s="22" t="s">
        <v>199</v>
      </c>
      <c r="F72" s="21">
        <v>1</v>
      </c>
      <c r="G72" s="22" t="s">
        <v>200</v>
      </c>
      <c r="H72" s="45">
        <v>10</v>
      </c>
      <c r="I72" s="45">
        <v>10</v>
      </c>
      <c r="J72" s="22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75" customHeight="1" x14ac:dyDescent="0.3">
      <c r="A73" s="21">
        <v>65</v>
      </c>
      <c r="B73" s="22" t="s">
        <v>30</v>
      </c>
      <c r="C73" s="22">
        <v>10422049</v>
      </c>
      <c r="D73" s="22" t="s">
        <v>201</v>
      </c>
      <c r="E73" s="22" t="s">
        <v>202</v>
      </c>
      <c r="F73" s="21">
        <v>1</v>
      </c>
      <c r="G73" s="22" t="s">
        <v>203</v>
      </c>
      <c r="H73" s="22"/>
      <c r="I73" s="45">
        <v>10</v>
      </c>
      <c r="J73" s="22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75" customHeight="1" x14ac:dyDescent="0.3">
      <c r="A74" s="21">
        <v>66</v>
      </c>
      <c r="B74" s="22" t="s">
        <v>30</v>
      </c>
      <c r="C74" s="22">
        <v>10422050</v>
      </c>
      <c r="D74" s="22" t="s">
        <v>205</v>
      </c>
      <c r="E74" s="22" t="s">
        <v>202</v>
      </c>
      <c r="F74" s="21">
        <v>1</v>
      </c>
      <c r="G74" s="22" t="s">
        <v>206</v>
      </c>
      <c r="H74" s="45">
        <v>10</v>
      </c>
      <c r="I74" s="45">
        <v>10</v>
      </c>
      <c r="J74" s="22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.75" customHeight="1" x14ac:dyDescent="0.3">
      <c r="A75" s="21">
        <v>67</v>
      </c>
      <c r="B75" s="22" t="s">
        <v>30</v>
      </c>
      <c r="C75" s="22">
        <v>10422051</v>
      </c>
      <c r="D75" s="22" t="s">
        <v>207</v>
      </c>
      <c r="E75" s="22" t="s">
        <v>202</v>
      </c>
      <c r="F75" s="21">
        <v>1</v>
      </c>
      <c r="G75" s="22" t="s">
        <v>208</v>
      </c>
      <c r="H75" s="45">
        <v>10</v>
      </c>
      <c r="I75" s="45">
        <v>10</v>
      </c>
      <c r="J75" s="22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.75" customHeight="1" x14ac:dyDescent="0.3">
      <c r="A76" s="21">
        <v>68</v>
      </c>
      <c r="B76" s="22" t="s">
        <v>30</v>
      </c>
      <c r="C76" s="22">
        <v>10422052</v>
      </c>
      <c r="D76" s="22" t="s">
        <v>210</v>
      </c>
      <c r="E76" s="22" t="s">
        <v>211</v>
      </c>
      <c r="F76" s="21">
        <v>1</v>
      </c>
      <c r="G76" s="22" t="s">
        <v>212</v>
      </c>
      <c r="H76" s="45">
        <v>10</v>
      </c>
      <c r="I76" s="45">
        <v>10</v>
      </c>
      <c r="J76" s="22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.75" customHeight="1" x14ac:dyDescent="0.3">
      <c r="A77" s="21">
        <v>69</v>
      </c>
      <c r="B77" s="22" t="s">
        <v>30</v>
      </c>
      <c r="C77" s="22">
        <v>10422053</v>
      </c>
      <c r="D77" s="22" t="s">
        <v>213</v>
      </c>
      <c r="E77" s="22" t="s">
        <v>214</v>
      </c>
      <c r="F77" s="21">
        <v>1</v>
      </c>
      <c r="G77" s="22" t="s">
        <v>215</v>
      </c>
      <c r="H77" s="45">
        <v>0</v>
      </c>
      <c r="I77" s="45">
        <v>10</v>
      </c>
      <c r="J77" s="45" t="s">
        <v>360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.75" customHeight="1" x14ac:dyDescent="0.3">
      <c r="A78" s="21">
        <v>70</v>
      </c>
      <c r="B78" s="22" t="s">
        <v>30</v>
      </c>
      <c r="C78" s="22">
        <v>10422054</v>
      </c>
      <c r="D78" s="22" t="s">
        <v>216</v>
      </c>
      <c r="E78" s="22" t="s">
        <v>217</v>
      </c>
      <c r="F78" s="21">
        <v>1</v>
      </c>
      <c r="G78" s="22" t="s">
        <v>218</v>
      </c>
      <c r="H78" s="45">
        <v>10</v>
      </c>
      <c r="I78" s="45">
        <v>10</v>
      </c>
      <c r="J78" s="22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.75" customHeight="1" x14ac:dyDescent="0.3">
      <c r="A79" s="21">
        <v>71</v>
      </c>
      <c r="B79" s="22" t="s">
        <v>30</v>
      </c>
      <c r="C79" s="22">
        <v>10422055</v>
      </c>
      <c r="D79" s="22" t="s">
        <v>219</v>
      </c>
      <c r="E79" s="22" t="s">
        <v>217</v>
      </c>
      <c r="F79" s="21">
        <v>1</v>
      </c>
      <c r="G79" s="22" t="s">
        <v>220</v>
      </c>
      <c r="H79" s="45">
        <v>0</v>
      </c>
      <c r="I79" s="45">
        <v>10</v>
      </c>
      <c r="J79" s="45" t="s">
        <v>373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.75" customHeight="1" x14ac:dyDescent="0.3">
      <c r="A80" s="21">
        <v>72</v>
      </c>
      <c r="B80" s="22" t="s">
        <v>30</v>
      </c>
      <c r="C80" s="22">
        <v>10422056</v>
      </c>
      <c r="D80" s="22" t="s">
        <v>221</v>
      </c>
      <c r="E80" s="22" t="s">
        <v>217</v>
      </c>
      <c r="F80" s="21">
        <v>1</v>
      </c>
      <c r="G80" s="22" t="s">
        <v>222</v>
      </c>
      <c r="H80" s="45">
        <v>10</v>
      </c>
      <c r="I80" s="45">
        <v>10</v>
      </c>
      <c r="J80" s="22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.75" customHeight="1" x14ac:dyDescent="0.3">
      <c r="A81" s="21">
        <v>73</v>
      </c>
      <c r="B81" s="22" t="s">
        <v>30</v>
      </c>
      <c r="C81" s="22">
        <v>10422057</v>
      </c>
      <c r="D81" s="22" t="s">
        <v>223</v>
      </c>
      <c r="E81" s="22" t="s">
        <v>98</v>
      </c>
      <c r="F81" s="21">
        <v>1</v>
      </c>
      <c r="G81" s="22" t="s">
        <v>224</v>
      </c>
      <c r="H81" s="45">
        <v>10</v>
      </c>
      <c r="I81" s="45">
        <v>10</v>
      </c>
      <c r="J81" s="22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.75" customHeight="1" x14ac:dyDescent="0.3">
      <c r="A82" s="21">
        <v>74</v>
      </c>
      <c r="B82" s="22" t="s">
        <v>30</v>
      </c>
      <c r="C82" s="22">
        <v>10422058</v>
      </c>
      <c r="D82" s="22" t="s">
        <v>225</v>
      </c>
      <c r="E82" s="22" t="s">
        <v>98</v>
      </c>
      <c r="F82" s="21">
        <v>1</v>
      </c>
      <c r="G82" s="22" t="s">
        <v>226</v>
      </c>
      <c r="H82" s="45">
        <v>10</v>
      </c>
      <c r="I82" s="45">
        <v>10</v>
      </c>
      <c r="J82" s="22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.75" customHeight="1" x14ac:dyDescent="0.3">
      <c r="A83" s="21">
        <v>75</v>
      </c>
      <c r="B83" s="22" t="s">
        <v>30</v>
      </c>
      <c r="C83" s="22">
        <v>10422059</v>
      </c>
      <c r="D83" s="22" t="s">
        <v>227</v>
      </c>
      <c r="E83" s="22" t="s">
        <v>98</v>
      </c>
      <c r="F83" s="21">
        <v>1</v>
      </c>
      <c r="G83" s="22" t="s">
        <v>228</v>
      </c>
      <c r="H83" s="45">
        <v>10</v>
      </c>
      <c r="I83" s="45">
        <v>10</v>
      </c>
      <c r="J83" s="22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.75" customHeight="1" x14ac:dyDescent="0.3">
      <c r="A84" s="21">
        <v>76</v>
      </c>
      <c r="B84" s="22" t="s">
        <v>30</v>
      </c>
      <c r="C84" s="22">
        <v>10422108</v>
      </c>
      <c r="D84" s="22" t="s">
        <v>229</v>
      </c>
      <c r="E84" s="22" t="s">
        <v>98</v>
      </c>
      <c r="F84" s="21">
        <v>1</v>
      </c>
      <c r="G84" s="22" t="s">
        <v>230</v>
      </c>
      <c r="H84" s="45">
        <v>10</v>
      </c>
      <c r="I84" s="45">
        <v>10</v>
      </c>
      <c r="J84" s="22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.75" customHeight="1" x14ac:dyDescent="0.3">
      <c r="A85" s="21">
        <v>77</v>
      </c>
      <c r="B85" s="22" t="s">
        <v>30</v>
      </c>
      <c r="C85" s="22">
        <v>10422109</v>
      </c>
      <c r="D85" s="22" t="s">
        <v>231</v>
      </c>
      <c r="E85" s="22" t="s">
        <v>232</v>
      </c>
      <c r="F85" s="21">
        <v>1</v>
      </c>
      <c r="G85" s="22" t="s">
        <v>233</v>
      </c>
      <c r="H85" s="45">
        <v>0</v>
      </c>
      <c r="I85" s="45">
        <v>10</v>
      </c>
      <c r="J85" s="45" t="s">
        <v>360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.75" customHeight="1" x14ac:dyDescent="0.3">
      <c r="A86" s="21">
        <v>78</v>
      </c>
      <c r="B86" s="22" t="s">
        <v>30</v>
      </c>
      <c r="C86" s="22">
        <v>10421098</v>
      </c>
      <c r="D86" s="22" t="s">
        <v>235</v>
      </c>
      <c r="E86" s="22" t="s">
        <v>236</v>
      </c>
      <c r="F86" s="21">
        <v>1</v>
      </c>
      <c r="G86" s="22" t="s">
        <v>237</v>
      </c>
      <c r="H86" s="22"/>
      <c r="I86" s="45">
        <v>10</v>
      </c>
      <c r="J86" s="22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.75" customHeight="1" x14ac:dyDescent="0.3">
      <c r="A87" s="21">
        <v>79</v>
      </c>
      <c r="B87" s="22" t="s">
        <v>30</v>
      </c>
      <c r="C87" s="22">
        <v>10422110</v>
      </c>
      <c r="D87" s="22" t="s">
        <v>238</v>
      </c>
      <c r="E87" s="22" t="s">
        <v>236</v>
      </c>
      <c r="F87" s="21">
        <v>1</v>
      </c>
      <c r="G87" s="22" t="s">
        <v>239</v>
      </c>
      <c r="H87" s="45">
        <v>10</v>
      </c>
      <c r="I87" s="45">
        <v>10</v>
      </c>
      <c r="J87" s="4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.75" customHeight="1" x14ac:dyDescent="0.3">
      <c r="A88" s="21">
        <v>80</v>
      </c>
      <c r="B88" s="22" t="s">
        <v>30</v>
      </c>
      <c r="C88" s="22">
        <v>10422060</v>
      </c>
      <c r="D88" s="22" t="s">
        <v>240</v>
      </c>
      <c r="E88" s="22" t="s">
        <v>24</v>
      </c>
      <c r="F88" s="21">
        <v>1</v>
      </c>
      <c r="G88" s="22" t="s">
        <v>241</v>
      </c>
      <c r="H88" s="45">
        <v>10</v>
      </c>
      <c r="I88" s="45">
        <v>10</v>
      </c>
      <c r="J88" s="45" t="s">
        <v>374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.75" customHeight="1" x14ac:dyDescent="0.3">
      <c r="A89" s="21">
        <v>81</v>
      </c>
      <c r="B89" s="22" t="s">
        <v>30</v>
      </c>
      <c r="C89" s="22">
        <v>10422061</v>
      </c>
      <c r="D89" s="22" t="s">
        <v>242</v>
      </c>
      <c r="E89" s="22" t="s">
        <v>243</v>
      </c>
      <c r="F89" s="21">
        <v>1</v>
      </c>
      <c r="G89" s="22" t="s">
        <v>244</v>
      </c>
      <c r="H89" s="45">
        <v>10</v>
      </c>
      <c r="I89" s="45">
        <v>10</v>
      </c>
      <c r="J89" s="22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.75" customHeight="1" x14ac:dyDescent="0.3">
      <c r="A90" s="21">
        <v>82</v>
      </c>
      <c r="B90" s="22" t="s">
        <v>30</v>
      </c>
      <c r="C90" s="22">
        <v>10422062</v>
      </c>
      <c r="D90" s="22" t="s">
        <v>246</v>
      </c>
      <c r="E90" s="22" t="s">
        <v>247</v>
      </c>
      <c r="F90" s="21">
        <v>1</v>
      </c>
      <c r="G90" s="22" t="s">
        <v>248</v>
      </c>
      <c r="H90" s="45">
        <v>10</v>
      </c>
      <c r="I90" s="45">
        <v>10</v>
      </c>
      <c r="J90" s="22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.75" customHeight="1" x14ac:dyDescent="0.3">
      <c r="A91" s="21">
        <v>83</v>
      </c>
      <c r="B91" s="22" t="s">
        <v>30</v>
      </c>
      <c r="C91" s="22">
        <v>10422063</v>
      </c>
      <c r="D91" s="22" t="s">
        <v>249</v>
      </c>
      <c r="E91" s="22" t="s">
        <v>250</v>
      </c>
      <c r="F91" s="21">
        <v>1</v>
      </c>
      <c r="G91" s="22" t="s">
        <v>251</v>
      </c>
      <c r="H91" s="45">
        <v>8</v>
      </c>
      <c r="I91" s="45">
        <v>10</v>
      </c>
      <c r="J91" s="45" t="s">
        <v>375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.75" customHeight="1" x14ac:dyDescent="0.3">
      <c r="A92" s="21">
        <v>84</v>
      </c>
      <c r="B92" s="22" t="s">
        <v>30</v>
      </c>
      <c r="C92" s="22">
        <v>10422111</v>
      </c>
      <c r="D92" s="22" t="s">
        <v>253</v>
      </c>
      <c r="E92" s="22" t="s">
        <v>250</v>
      </c>
      <c r="F92" s="21">
        <v>1</v>
      </c>
      <c r="G92" s="22" t="s">
        <v>254</v>
      </c>
      <c r="H92" s="45">
        <v>10</v>
      </c>
      <c r="I92" s="45">
        <v>10</v>
      </c>
      <c r="J92" s="22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.75" customHeight="1" x14ac:dyDescent="0.3">
      <c r="A93" s="21">
        <v>85</v>
      </c>
      <c r="B93" s="22" t="s">
        <v>30</v>
      </c>
      <c r="C93" s="22">
        <v>10422112</v>
      </c>
      <c r="D93" s="22" t="s">
        <v>255</v>
      </c>
      <c r="E93" s="22" t="s">
        <v>256</v>
      </c>
      <c r="F93" s="21">
        <v>1</v>
      </c>
      <c r="G93" s="22" t="s">
        <v>257</v>
      </c>
      <c r="H93" s="45">
        <v>0</v>
      </c>
      <c r="I93" s="45">
        <v>10</v>
      </c>
      <c r="J93" s="45" t="s">
        <v>376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.75" customHeight="1" x14ac:dyDescent="0.3">
      <c r="A94" s="21">
        <v>86</v>
      </c>
      <c r="B94" s="22" t="s">
        <v>30</v>
      </c>
      <c r="C94" s="22">
        <v>10222025</v>
      </c>
      <c r="D94" s="22" t="s">
        <v>259</v>
      </c>
      <c r="E94" s="22" t="s">
        <v>260</v>
      </c>
      <c r="F94" s="21">
        <v>1</v>
      </c>
      <c r="G94" s="22" t="s">
        <v>261</v>
      </c>
      <c r="H94" s="45">
        <v>10</v>
      </c>
      <c r="I94" s="45">
        <v>10</v>
      </c>
      <c r="J94" s="4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.75" customHeight="1" x14ac:dyDescent="0.3">
      <c r="A95" s="21">
        <v>87</v>
      </c>
      <c r="B95" s="22" t="s">
        <v>30</v>
      </c>
      <c r="C95" s="22">
        <v>10422064</v>
      </c>
      <c r="D95" s="22" t="s">
        <v>262</v>
      </c>
      <c r="E95" s="22" t="s">
        <v>263</v>
      </c>
      <c r="F95" s="21">
        <v>1</v>
      </c>
      <c r="G95" s="22" t="s">
        <v>264</v>
      </c>
      <c r="H95" s="22"/>
      <c r="I95" s="45">
        <v>10</v>
      </c>
      <c r="J95" s="22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.75" customHeight="1" x14ac:dyDescent="0.3">
      <c r="A96" s="21">
        <v>88</v>
      </c>
      <c r="B96" s="22" t="s">
        <v>30</v>
      </c>
      <c r="C96" s="22">
        <v>10422065</v>
      </c>
      <c r="D96" s="22" t="s">
        <v>265</v>
      </c>
      <c r="E96" s="22" t="s">
        <v>266</v>
      </c>
      <c r="F96" s="21">
        <v>1</v>
      </c>
      <c r="G96" s="22" t="s">
        <v>267</v>
      </c>
      <c r="H96" s="45">
        <v>8</v>
      </c>
      <c r="I96" s="45">
        <v>10</v>
      </c>
      <c r="J96" s="45" t="s">
        <v>377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.75" customHeight="1" x14ac:dyDescent="0.3">
      <c r="A97" s="21">
        <v>89</v>
      </c>
      <c r="B97" s="22" t="s">
        <v>30</v>
      </c>
      <c r="C97" s="22">
        <v>10422066</v>
      </c>
      <c r="D97" s="22" t="s">
        <v>76</v>
      </c>
      <c r="E97" s="22" t="s">
        <v>268</v>
      </c>
      <c r="F97" s="21">
        <v>1</v>
      </c>
      <c r="G97" s="22" t="s">
        <v>269</v>
      </c>
      <c r="H97" s="45">
        <v>0</v>
      </c>
      <c r="I97" s="45">
        <v>10</v>
      </c>
      <c r="J97" s="45" t="s">
        <v>378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.75" customHeight="1" x14ac:dyDescent="0.3">
      <c r="A98" s="21">
        <v>90</v>
      </c>
      <c r="B98" s="22" t="s">
        <v>30</v>
      </c>
      <c r="C98" s="22">
        <v>10422067</v>
      </c>
      <c r="D98" s="22" t="s">
        <v>270</v>
      </c>
      <c r="E98" s="22" t="s">
        <v>268</v>
      </c>
      <c r="F98" s="21">
        <v>1</v>
      </c>
      <c r="G98" s="22" t="s">
        <v>271</v>
      </c>
      <c r="H98" s="22"/>
      <c r="I98" s="45"/>
      <c r="J98" s="22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.75" customHeight="1" x14ac:dyDescent="0.3">
      <c r="A99" s="21">
        <v>91</v>
      </c>
      <c r="B99" s="22" t="s">
        <v>30</v>
      </c>
      <c r="C99" s="22">
        <v>10422113</v>
      </c>
      <c r="D99" s="22" t="s">
        <v>272</v>
      </c>
      <c r="E99" s="22" t="s">
        <v>273</v>
      </c>
      <c r="F99" s="21">
        <v>1</v>
      </c>
      <c r="G99" s="22" t="s">
        <v>274</v>
      </c>
      <c r="H99" s="45">
        <v>10</v>
      </c>
      <c r="I99" s="45">
        <v>10</v>
      </c>
      <c r="J99" s="22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.75" customHeight="1" x14ac:dyDescent="0.3">
      <c r="A100" s="21">
        <v>92</v>
      </c>
      <c r="B100" s="22" t="s">
        <v>30</v>
      </c>
      <c r="C100" s="22">
        <v>10421102</v>
      </c>
      <c r="D100" s="22" t="s">
        <v>276</v>
      </c>
      <c r="E100" s="22" t="s">
        <v>277</v>
      </c>
      <c r="F100" s="21">
        <v>1</v>
      </c>
      <c r="G100" s="22" t="s">
        <v>278</v>
      </c>
      <c r="H100" s="45">
        <v>4</v>
      </c>
      <c r="I100" s="45">
        <v>10</v>
      </c>
      <c r="J100" s="45" t="s">
        <v>365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.75" customHeight="1" x14ac:dyDescent="0.3">
      <c r="A101" s="21">
        <v>93</v>
      </c>
      <c r="B101" s="22" t="s">
        <v>30</v>
      </c>
      <c r="C101" s="22">
        <v>10422070</v>
      </c>
      <c r="D101" s="22" t="s">
        <v>279</v>
      </c>
      <c r="E101" s="22" t="s">
        <v>280</v>
      </c>
      <c r="F101" s="21">
        <v>1</v>
      </c>
      <c r="G101" s="22" t="s">
        <v>281</v>
      </c>
      <c r="H101" s="22"/>
      <c r="I101" s="45">
        <v>10</v>
      </c>
      <c r="J101" s="22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.75" customHeight="1" x14ac:dyDescent="0.3">
      <c r="A102" s="21">
        <v>94</v>
      </c>
      <c r="B102" s="22" t="s">
        <v>30</v>
      </c>
      <c r="C102" s="22">
        <v>10422071</v>
      </c>
      <c r="D102" s="22" t="s">
        <v>283</v>
      </c>
      <c r="E102" s="22" t="s">
        <v>284</v>
      </c>
      <c r="F102" s="21">
        <v>1</v>
      </c>
      <c r="G102" s="22" t="s">
        <v>285</v>
      </c>
      <c r="H102" s="45">
        <v>2</v>
      </c>
      <c r="I102" s="45">
        <v>10</v>
      </c>
      <c r="J102" s="45" t="s">
        <v>360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 x14ac:dyDescent="0.3">
      <c r="A103" s="21">
        <v>95</v>
      </c>
      <c r="B103" s="22" t="s">
        <v>30</v>
      </c>
      <c r="C103" s="22">
        <v>10421053</v>
      </c>
      <c r="D103" s="22" t="s">
        <v>287</v>
      </c>
      <c r="E103" s="22" t="s">
        <v>288</v>
      </c>
      <c r="F103" s="21">
        <v>1</v>
      </c>
      <c r="G103" s="22" t="s">
        <v>289</v>
      </c>
      <c r="H103" s="45">
        <v>2</v>
      </c>
      <c r="I103" s="45">
        <v>10</v>
      </c>
      <c r="J103" s="45" t="s">
        <v>360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 x14ac:dyDescent="0.3">
      <c r="A104" s="21">
        <v>96</v>
      </c>
      <c r="B104" s="22" t="s">
        <v>30</v>
      </c>
      <c r="C104" s="22">
        <v>10422114</v>
      </c>
      <c r="D104" s="22" t="s">
        <v>290</v>
      </c>
      <c r="E104" s="22" t="s">
        <v>291</v>
      </c>
      <c r="F104" s="21">
        <v>1</v>
      </c>
      <c r="G104" s="22" t="s">
        <v>292</v>
      </c>
      <c r="H104" s="45">
        <v>10</v>
      </c>
      <c r="I104" s="45">
        <v>10</v>
      </c>
      <c r="J104" s="22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.75" customHeight="1" x14ac:dyDescent="0.3">
      <c r="A105" s="21">
        <v>97</v>
      </c>
      <c r="B105" s="22" t="s">
        <v>30</v>
      </c>
      <c r="C105" s="22">
        <v>10422072</v>
      </c>
      <c r="D105" s="22" t="s">
        <v>238</v>
      </c>
      <c r="E105" s="22" t="s">
        <v>293</v>
      </c>
      <c r="F105" s="21">
        <v>1</v>
      </c>
      <c r="G105" s="22" t="s">
        <v>294</v>
      </c>
      <c r="H105" s="45">
        <v>10</v>
      </c>
      <c r="I105" s="45">
        <v>10</v>
      </c>
      <c r="J105" s="22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.75" customHeight="1" x14ac:dyDescent="0.3">
      <c r="A106" s="21">
        <v>98</v>
      </c>
      <c r="B106" s="22" t="s">
        <v>30</v>
      </c>
      <c r="C106" s="22">
        <v>10422074</v>
      </c>
      <c r="D106" s="22" t="s">
        <v>295</v>
      </c>
      <c r="E106" s="22" t="s">
        <v>296</v>
      </c>
      <c r="F106" s="21">
        <v>1</v>
      </c>
      <c r="G106" s="22" t="s">
        <v>297</v>
      </c>
      <c r="H106" s="45">
        <v>10</v>
      </c>
      <c r="I106" s="45">
        <v>10</v>
      </c>
      <c r="J106" s="22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.75" customHeight="1" x14ac:dyDescent="0.3">
      <c r="A107" s="21">
        <v>99</v>
      </c>
      <c r="B107" s="22" t="s">
        <v>30</v>
      </c>
      <c r="C107" s="22">
        <v>10422075</v>
      </c>
      <c r="D107" s="22" t="s">
        <v>298</v>
      </c>
      <c r="E107" s="22" t="s">
        <v>296</v>
      </c>
      <c r="F107" s="21">
        <v>1</v>
      </c>
      <c r="G107" s="22" t="s">
        <v>299</v>
      </c>
      <c r="H107" s="45">
        <v>10</v>
      </c>
      <c r="I107" s="45">
        <v>10</v>
      </c>
      <c r="J107" s="22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.75" customHeight="1" x14ac:dyDescent="0.3">
      <c r="A108" s="21">
        <v>100</v>
      </c>
      <c r="B108" s="22" t="s">
        <v>30</v>
      </c>
      <c r="C108" s="22">
        <v>18919</v>
      </c>
      <c r="D108" s="22" t="s">
        <v>89</v>
      </c>
      <c r="E108" s="22" t="s">
        <v>300</v>
      </c>
      <c r="F108" s="21">
        <v>1</v>
      </c>
      <c r="G108" s="22" t="s">
        <v>301</v>
      </c>
      <c r="H108" s="22"/>
      <c r="I108" s="45"/>
      <c r="J108" s="22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.75" customHeight="1" x14ac:dyDescent="0.3">
      <c r="A109" s="21">
        <v>101</v>
      </c>
      <c r="B109" s="22" t="s">
        <v>30</v>
      </c>
      <c r="C109" s="22">
        <v>10422117</v>
      </c>
      <c r="D109" s="22" t="s">
        <v>272</v>
      </c>
      <c r="E109" s="22" t="s">
        <v>302</v>
      </c>
      <c r="F109" s="21">
        <v>1</v>
      </c>
      <c r="G109" s="22" t="s">
        <v>303</v>
      </c>
      <c r="H109" s="45">
        <v>10</v>
      </c>
      <c r="I109" s="45">
        <v>10</v>
      </c>
      <c r="J109" s="45" t="s">
        <v>379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.75" customHeight="1" x14ac:dyDescent="0.3">
      <c r="A110" s="21">
        <v>102</v>
      </c>
      <c r="B110" s="22" t="s">
        <v>30</v>
      </c>
      <c r="C110" s="22">
        <v>10422077</v>
      </c>
      <c r="D110" s="22" t="s">
        <v>304</v>
      </c>
      <c r="E110" s="22" t="s">
        <v>305</v>
      </c>
      <c r="F110" s="21">
        <v>1</v>
      </c>
      <c r="G110" s="22" t="s">
        <v>306</v>
      </c>
      <c r="H110" s="22"/>
      <c r="I110" s="45"/>
      <c r="J110" s="22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.75" customHeight="1" x14ac:dyDescent="0.3">
      <c r="A111" s="21">
        <v>103</v>
      </c>
      <c r="B111" s="22" t="s">
        <v>30</v>
      </c>
      <c r="C111" s="22">
        <v>10422124</v>
      </c>
      <c r="D111" s="22" t="s">
        <v>307</v>
      </c>
      <c r="E111" s="22" t="s">
        <v>308</v>
      </c>
      <c r="F111" s="21">
        <v>1</v>
      </c>
      <c r="G111" s="22" t="s">
        <v>309</v>
      </c>
      <c r="H111" s="45">
        <v>0</v>
      </c>
      <c r="I111" s="45">
        <v>10</v>
      </c>
      <c r="J111" s="45" t="s">
        <v>360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.75" customHeight="1" x14ac:dyDescent="0.3">
      <c r="A112" s="21">
        <v>104</v>
      </c>
      <c r="B112" s="22" t="s">
        <v>30</v>
      </c>
      <c r="C112" s="22">
        <v>10422078</v>
      </c>
      <c r="D112" s="22" t="s">
        <v>310</v>
      </c>
      <c r="E112" s="22" t="s">
        <v>311</v>
      </c>
      <c r="F112" s="21">
        <v>1</v>
      </c>
      <c r="G112" s="22" t="s">
        <v>312</v>
      </c>
      <c r="H112" s="45">
        <v>0</v>
      </c>
      <c r="I112" s="45">
        <v>10</v>
      </c>
      <c r="J112" s="45" t="s">
        <v>380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.75" customHeight="1" x14ac:dyDescent="0.3">
      <c r="A113" s="21">
        <v>105</v>
      </c>
      <c r="B113" s="22" t="s">
        <v>30</v>
      </c>
      <c r="C113" s="22">
        <v>10422118</v>
      </c>
      <c r="D113" s="22" t="s">
        <v>314</v>
      </c>
      <c r="E113" s="22" t="s">
        <v>315</v>
      </c>
      <c r="F113" s="21">
        <v>1</v>
      </c>
      <c r="G113" s="22" t="s">
        <v>316</v>
      </c>
      <c r="H113" s="45">
        <v>10</v>
      </c>
      <c r="I113" s="45">
        <v>10</v>
      </c>
      <c r="J113" s="22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.75" customHeight="1" x14ac:dyDescent="0.3">
      <c r="A114" s="21">
        <v>106</v>
      </c>
      <c r="B114" s="22" t="s">
        <v>30</v>
      </c>
      <c r="C114" s="22">
        <v>10422119</v>
      </c>
      <c r="D114" s="22" t="s">
        <v>318</v>
      </c>
      <c r="E114" s="22" t="s">
        <v>319</v>
      </c>
      <c r="F114" s="21">
        <v>1</v>
      </c>
      <c r="G114" s="22" t="s">
        <v>320</v>
      </c>
      <c r="H114" s="45">
        <v>8</v>
      </c>
      <c r="I114" s="45">
        <v>10</v>
      </c>
      <c r="J114" s="22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.75" customHeight="1" x14ac:dyDescent="0.3">
      <c r="A115" s="21">
        <v>107</v>
      </c>
      <c r="B115" s="22" t="s">
        <v>30</v>
      </c>
      <c r="C115" s="22">
        <v>10422120</v>
      </c>
      <c r="D115" s="22" t="s">
        <v>322</v>
      </c>
      <c r="E115" s="22" t="s">
        <v>323</v>
      </c>
      <c r="F115" s="21">
        <v>1</v>
      </c>
      <c r="G115" s="22" t="s">
        <v>324</v>
      </c>
      <c r="H115" s="45">
        <v>4</v>
      </c>
      <c r="I115" s="45">
        <v>10</v>
      </c>
      <c r="J115" s="45" t="s">
        <v>381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.75" customHeight="1" x14ac:dyDescent="0.3">
      <c r="A116" s="21">
        <v>108</v>
      </c>
      <c r="B116" s="22" t="s">
        <v>30</v>
      </c>
      <c r="C116" s="22">
        <v>10421124</v>
      </c>
      <c r="D116" s="22" t="s">
        <v>265</v>
      </c>
      <c r="E116" s="22" t="s">
        <v>325</v>
      </c>
      <c r="F116" s="21">
        <v>1</v>
      </c>
      <c r="G116" s="22" t="s">
        <v>326</v>
      </c>
      <c r="H116" s="45">
        <v>10</v>
      </c>
      <c r="I116" s="45">
        <v>10</v>
      </c>
      <c r="J116" s="22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.75" customHeight="1" x14ac:dyDescent="0.3">
      <c r="A117" s="21">
        <v>109</v>
      </c>
      <c r="B117" s="22" t="s">
        <v>30</v>
      </c>
      <c r="C117" s="22">
        <v>10422079</v>
      </c>
      <c r="D117" s="22" t="s">
        <v>328</v>
      </c>
      <c r="E117" s="22" t="s">
        <v>325</v>
      </c>
      <c r="F117" s="21">
        <v>1</v>
      </c>
      <c r="G117" s="22" t="s">
        <v>329</v>
      </c>
      <c r="H117" s="22"/>
      <c r="I117" s="45"/>
      <c r="J117" s="22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.75" customHeight="1" x14ac:dyDescent="0.3">
      <c r="A118" s="21">
        <v>110</v>
      </c>
      <c r="B118" s="22" t="s">
        <v>30</v>
      </c>
      <c r="C118" s="22">
        <v>10422080</v>
      </c>
      <c r="D118" s="22" t="s">
        <v>238</v>
      </c>
      <c r="E118" s="22" t="s">
        <v>330</v>
      </c>
      <c r="F118" s="21">
        <v>1</v>
      </c>
      <c r="G118" s="22" t="s">
        <v>331</v>
      </c>
      <c r="H118" s="45">
        <v>10</v>
      </c>
      <c r="I118" s="45">
        <v>10</v>
      </c>
      <c r="J118" s="22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.75" customHeight="1" x14ac:dyDescent="0.3">
      <c r="A119" s="21">
        <v>111</v>
      </c>
      <c r="B119" s="22" t="s">
        <v>30</v>
      </c>
      <c r="C119" s="22">
        <v>10422081</v>
      </c>
      <c r="D119" s="22" t="s">
        <v>333</v>
      </c>
      <c r="E119" s="22" t="s">
        <v>334</v>
      </c>
      <c r="F119" s="21">
        <v>1</v>
      </c>
      <c r="G119" s="22" t="s">
        <v>335</v>
      </c>
      <c r="H119" s="45">
        <v>10</v>
      </c>
      <c r="I119" s="45">
        <v>10</v>
      </c>
      <c r="J119" s="22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75" customHeight="1" x14ac:dyDescent="0.3">
      <c r="A120" s="21">
        <v>112</v>
      </c>
      <c r="B120" s="22" t="s">
        <v>30</v>
      </c>
      <c r="C120" s="22">
        <v>10422082</v>
      </c>
      <c r="D120" s="22" t="s">
        <v>336</v>
      </c>
      <c r="E120" s="22" t="s">
        <v>334</v>
      </c>
      <c r="F120" s="21">
        <v>1</v>
      </c>
      <c r="G120" s="22" t="s">
        <v>337</v>
      </c>
      <c r="H120" s="45">
        <v>10</v>
      </c>
      <c r="I120" s="45">
        <v>10</v>
      </c>
      <c r="J120" s="22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75" customHeight="1" x14ac:dyDescent="0.3">
      <c r="A121" s="21">
        <v>113</v>
      </c>
      <c r="B121" s="22" t="s">
        <v>30</v>
      </c>
      <c r="C121" s="22">
        <v>10422121</v>
      </c>
      <c r="D121" s="22" t="s">
        <v>338</v>
      </c>
      <c r="E121" s="22" t="s">
        <v>339</v>
      </c>
      <c r="F121" s="21">
        <v>1</v>
      </c>
      <c r="G121" s="22" t="s">
        <v>340</v>
      </c>
      <c r="H121" s="45">
        <v>8</v>
      </c>
      <c r="I121" s="45">
        <v>10</v>
      </c>
      <c r="J121" s="45" t="s">
        <v>382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75" customHeight="1" x14ac:dyDescent="0.3">
      <c r="A122" s="21">
        <v>114</v>
      </c>
      <c r="B122" s="22" t="s">
        <v>30</v>
      </c>
      <c r="C122" s="22">
        <v>10422083</v>
      </c>
      <c r="D122" s="22" t="s">
        <v>341</v>
      </c>
      <c r="E122" s="22" t="s">
        <v>342</v>
      </c>
      <c r="F122" s="21">
        <v>1</v>
      </c>
      <c r="G122" s="22" t="s">
        <v>343</v>
      </c>
      <c r="H122" s="45">
        <v>0</v>
      </c>
      <c r="I122" s="45">
        <v>10</v>
      </c>
      <c r="J122" s="45" t="s">
        <v>360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75" customHeight="1" x14ac:dyDescent="0.3">
      <c r="A123" s="21">
        <v>115</v>
      </c>
      <c r="B123" s="22" t="s">
        <v>30</v>
      </c>
      <c r="C123" s="22">
        <v>10422084</v>
      </c>
      <c r="D123" s="22" t="s">
        <v>344</v>
      </c>
      <c r="E123" s="22" t="s">
        <v>345</v>
      </c>
      <c r="F123" s="21">
        <v>1</v>
      </c>
      <c r="G123" s="22" t="s">
        <v>346</v>
      </c>
      <c r="H123" s="45">
        <v>10</v>
      </c>
      <c r="I123" s="45">
        <v>10</v>
      </c>
      <c r="J123" s="22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75" customHeight="1" x14ac:dyDescent="0.3">
      <c r="A124" s="21">
        <v>116</v>
      </c>
      <c r="B124" s="22" t="s">
        <v>30</v>
      </c>
      <c r="C124" s="22">
        <v>10422122</v>
      </c>
      <c r="D124" s="22" t="s">
        <v>347</v>
      </c>
      <c r="E124" s="22" t="s">
        <v>28</v>
      </c>
      <c r="F124" s="21">
        <v>1</v>
      </c>
      <c r="G124" s="22" t="s">
        <v>348</v>
      </c>
      <c r="H124" s="45">
        <v>10</v>
      </c>
      <c r="I124" s="45">
        <v>10</v>
      </c>
      <c r="J124" s="22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75" customHeight="1" x14ac:dyDescent="0.3">
      <c r="A125" s="21">
        <v>117</v>
      </c>
      <c r="B125" s="22" t="s">
        <v>30</v>
      </c>
      <c r="C125" s="22">
        <v>10421067</v>
      </c>
      <c r="D125" s="22" t="s">
        <v>349</v>
      </c>
      <c r="E125" s="22" t="s">
        <v>350</v>
      </c>
      <c r="F125" s="21">
        <v>1</v>
      </c>
      <c r="G125" s="22" t="s">
        <v>351</v>
      </c>
      <c r="H125" s="45">
        <v>10</v>
      </c>
      <c r="I125" s="45">
        <v>10</v>
      </c>
      <c r="J125" s="22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75" customHeight="1" x14ac:dyDescent="0.3">
      <c r="A126" s="21">
        <v>118</v>
      </c>
      <c r="B126" s="22" t="s">
        <v>30</v>
      </c>
      <c r="C126" s="22">
        <v>10422085</v>
      </c>
      <c r="D126" s="22" t="s">
        <v>352</v>
      </c>
      <c r="E126" s="22" t="s">
        <v>353</v>
      </c>
      <c r="F126" s="21">
        <v>1</v>
      </c>
      <c r="G126" s="22" t="s">
        <v>354</v>
      </c>
      <c r="H126" s="45">
        <v>10</v>
      </c>
      <c r="I126" s="45">
        <v>10</v>
      </c>
      <c r="J126" s="22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75" customHeight="1" x14ac:dyDescent="0.3">
      <c r="A127" s="41"/>
      <c r="B127" s="6"/>
      <c r="C127" s="6"/>
      <c r="D127" s="6"/>
      <c r="E127" s="6"/>
      <c r="F127" s="41"/>
      <c r="G127" s="6"/>
      <c r="H127" s="42"/>
      <c r="I127" s="4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75" customHeight="1" x14ac:dyDescent="0.3">
      <c r="A128" s="41"/>
      <c r="B128" s="6"/>
      <c r="C128" s="6"/>
      <c r="D128" s="6"/>
      <c r="E128" s="6"/>
      <c r="F128" s="41"/>
      <c r="G128" s="43" t="s">
        <v>356</v>
      </c>
      <c r="H128" s="42">
        <f t="shared" ref="H128:I128" si="0">COUNTA(H9:H126)</f>
        <v>100</v>
      </c>
      <c r="I128" s="42">
        <f t="shared" si="0"/>
        <v>109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 x14ac:dyDescent="0.3">
      <c r="A129" s="41"/>
      <c r="B129" s="6"/>
      <c r="C129" s="6"/>
      <c r="D129" s="6"/>
      <c r="E129" s="6"/>
      <c r="F129" s="41"/>
      <c r="G129" s="20"/>
      <c r="H129" s="42">
        <f>COUNTBLANK(H9:H126)</f>
        <v>18</v>
      </c>
      <c r="I129" s="4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 x14ac:dyDescent="0.3">
      <c r="A130" s="41"/>
      <c r="B130" s="6"/>
      <c r="C130" s="6"/>
      <c r="D130" s="6"/>
      <c r="E130" s="6"/>
      <c r="F130" s="41"/>
      <c r="G130" s="6"/>
      <c r="H130" s="42"/>
      <c r="I130" s="4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 x14ac:dyDescent="0.3">
      <c r="A131" s="41"/>
      <c r="B131" s="6"/>
      <c r="C131" s="6"/>
      <c r="D131" s="6"/>
      <c r="E131" s="6"/>
      <c r="F131" s="41"/>
      <c r="G131" s="6"/>
      <c r="H131" s="42"/>
      <c r="I131" s="4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customHeight="1" x14ac:dyDescent="0.3">
      <c r="A132" s="41"/>
      <c r="B132" s="6"/>
      <c r="C132" s="6"/>
      <c r="D132" s="6"/>
      <c r="E132" s="6"/>
      <c r="F132" s="41"/>
      <c r="G132" s="6"/>
      <c r="H132" s="42"/>
      <c r="I132" s="4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customHeight="1" x14ac:dyDescent="0.3">
      <c r="A133" s="41"/>
      <c r="B133" s="6"/>
      <c r="C133" s="6"/>
      <c r="D133" s="6"/>
      <c r="E133" s="6"/>
      <c r="F133" s="41"/>
      <c r="G133" s="6"/>
      <c r="H133" s="42"/>
      <c r="I133" s="4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 x14ac:dyDescent="0.3">
      <c r="A134" s="41"/>
      <c r="B134" s="6"/>
      <c r="C134" s="6"/>
      <c r="D134" s="6"/>
      <c r="E134" s="6"/>
      <c r="F134" s="41"/>
      <c r="G134" s="6"/>
      <c r="H134" s="42"/>
      <c r="I134" s="4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 x14ac:dyDescent="0.3">
      <c r="A135" s="41"/>
      <c r="B135" s="6"/>
      <c r="C135" s="6"/>
      <c r="D135" s="6"/>
      <c r="E135" s="6"/>
      <c r="F135" s="41"/>
      <c r="G135" s="6"/>
      <c r="H135" s="42"/>
      <c r="I135" s="4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 x14ac:dyDescent="0.3">
      <c r="A136" s="41"/>
      <c r="B136" s="6"/>
      <c r="C136" s="6"/>
      <c r="D136" s="6"/>
      <c r="E136" s="6"/>
      <c r="F136" s="41"/>
      <c r="G136" s="6"/>
      <c r="H136" s="42"/>
      <c r="I136" s="4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 x14ac:dyDescent="0.3">
      <c r="A137" s="41"/>
      <c r="B137" s="6"/>
      <c r="C137" s="6"/>
      <c r="D137" s="6"/>
      <c r="E137" s="6"/>
      <c r="F137" s="41"/>
      <c r="G137" s="6"/>
      <c r="H137" s="42"/>
      <c r="I137" s="4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 x14ac:dyDescent="0.3">
      <c r="A138" s="41"/>
      <c r="B138" s="6"/>
      <c r="C138" s="6"/>
      <c r="D138" s="6"/>
      <c r="E138" s="6"/>
      <c r="F138" s="41"/>
      <c r="G138" s="6"/>
      <c r="H138" s="42"/>
      <c r="I138" s="4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 x14ac:dyDescent="0.3">
      <c r="A139" s="41"/>
      <c r="B139" s="6"/>
      <c r="C139" s="6"/>
      <c r="D139" s="6"/>
      <c r="E139" s="6"/>
      <c r="F139" s="41"/>
      <c r="G139" s="6"/>
      <c r="H139" s="42"/>
      <c r="I139" s="4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 x14ac:dyDescent="0.3">
      <c r="A140" s="41"/>
      <c r="B140" s="6"/>
      <c r="C140" s="6"/>
      <c r="D140" s="6"/>
      <c r="E140" s="6"/>
      <c r="F140" s="41"/>
      <c r="G140" s="6"/>
      <c r="H140" s="42"/>
      <c r="I140" s="4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 x14ac:dyDescent="0.3">
      <c r="A141" s="41"/>
      <c r="B141" s="6"/>
      <c r="C141" s="6"/>
      <c r="D141" s="6"/>
      <c r="E141" s="6"/>
      <c r="F141" s="41"/>
      <c r="G141" s="6"/>
      <c r="H141" s="42"/>
      <c r="I141" s="4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 x14ac:dyDescent="0.3">
      <c r="A142" s="41"/>
      <c r="B142" s="6"/>
      <c r="C142" s="6"/>
      <c r="D142" s="6"/>
      <c r="E142" s="6"/>
      <c r="F142" s="41"/>
      <c r="G142" s="6"/>
      <c r="H142" s="42"/>
      <c r="I142" s="4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 x14ac:dyDescent="0.3">
      <c r="A143" s="41"/>
      <c r="B143" s="6"/>
      <c r="C143" s="6"/>
      <c r="D143" s="6"/>
      <c r="E143" s="6"/>
      <c r="F143" s="41"/>
      <c r="G143" s="6"/>
      <c r="H143" s="42"/>
      <c r="I143" s="4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 x14ac:dyDescent="0.3">
      <c r="A144" s="41"/>
      <c r="B144" s="6"/>
      <c r="C144" s="6"/>
      <c r="D144" s="6"/>
      <c r="E144" s="6"/>
      <c r="F144" s="41"/>
      <c r="G144" s="6"/>
      <c r="H144" s="42"/>
      <c r="I144" s="4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 x14ac:dyDescent="0.3">
      <c r="A145" s="41"/>
      <c r="B145" s="6"/>
      <c r="C145" s="6"/>
      <c r="D145" s="6"/>
      <c r="E145" s="6"/>
      <c r="F145" s="41"/>
      <c r="G145" s="6"/>
      <c r="H145" s="42"/>
      <c r="I145" s="4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 x14ac:dyDescent="0.3">
      <c r="A146" s="41"/>
      <c r="B146" s="6"/>
      <c r="C146" s="6"/>
      <c r="D146" s="6"/>
      <c r="E146" s="6"/>
      <c r="F146" s="41"/>
      <c r="G146" s="6"/>
      <c r="H146" s="42"/>
      <c r="I146" s="4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 x14ac:dyDescent="0.3">
      <c r="A147" s="41"/>
      <c r="B147" s="6"/>
      <c r="C147" s="6"/>
      <c r="D147" s="6"/>
      <c r="E147" s="6"/>
      <c r="F147" s="41"/>
      <c r="G147" s="6"/>
      <c r="H147" s="42"/>
      <c r="I147" s="4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 x14ac:dyDescent="0.3">
      <c r="A148" s="41"/>
      <c r="B148" s="6"/>
      <c r="C148" s="6"/>
      <c r="D148" s="6"/>
      <c r="E148" s="6"/>
      <c r="F148" s="41"/>
      <c r="G148" s="6"/>
      <c r="H148" s="42"/>
      <c r="I148" s="4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 x14ac:dyDescent="0.3">
      <c r="A149" s="41"/>
      <c r="B149" s="6"/>
      <c r="C149" s="6"/>
      <c r="D149" s="6"/>
      <c r="E149" s="6"/>
      <c r="F149" s="41"/>
      <c r="G149" s="6"/>
      <c r="H149" s="42"/>
      <c r="I149" s="4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 x14ac:dyDescent="0.3">
      <c r="A150" s="41"/>
      <c r="B150" s="6"/>
      <c r="C150" s="6"/>
      <c r="D150" s="6"/>
      <c r="E150" s="6"/>
      <c r="F150" s="41"/>
      <c r="G150" s="6"/>
      <c r="H150" s="42"/>
      <c r="I150" s="4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 x14ac:dyDescent="0.3">
      <c r="A151" s="41"/>
      <c r="B151" s="6"/>
      <c r="C151" s="6"/>
      <c r="D151" s="6"/>
      <c r="E151" s="6"/>
      <c r="F151" s="41"/>
      <c r="G151" s="6"/>
      <c r="H151" s="42"/>
      <c r="I151" s="4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 x14ac:dyDescent="0.3">
      <c r="A152" s="41"/>
      <c r="B152" s="6"/>
      <c r="C152" s="6"/>
      <c r="D152" s="6"/>
      <c r="E152" s="6"/>
      <c r="F152" s="41"/>
      <c r="G152" s="6"/>
      <c r="H152" s="42"/>
      <c r="I152" s="4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 x14ac:dyDescent="0.3">
      <c r="A153" s="41"/>
      <c r="B153" s="6"/>
      <c r="C153" s="6"/>
      <c r="D153" s="6"/>
      <c r="E153" s="6"/>
      <c r="F153" s="41"/>
      <c r="G153" s="6"/>
      <c r="H153" s="42"/>
      <c r="I153" s="4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 x14ac:dyDescent="0.3">
      <c r="A154" s="41"/>
      <c r="B154" s="6"/>
      <c r="C154" s="6"/>
      <c r="D154" s="6"/>
      <c r="E154" s="6"/>
      <c r="F154" s="41"/>
      <c r="G154" s="6"/>
      <c r="H154" s="42"/>
      <c r="I154" s="4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 x14ac:dyDescent="0.3">
      <c r="A155" s="41"/>
      <c r="B155" s="6"/>
      <c r="C155" s="6"/>
      <c r="D155" s="6"/>
      <c r="E155" s="6"/>
      <c r="F155" s="41"/>
      <c r="G155" s="6"/>
      <c r="H155" s="42"/>
      <c r="I155" s="4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 x14ac:dyDescent="0.3">
      <c r="A156" s="41"/>
      <c r="B156" s="6"/>
      <c r="C156" s="6"/>
      <c r="D156" s="6"/>
      <c r="E156" s="6"/>
      <c r="F156" s="41"/>
      <c r="G156" s="6"/>
      <c r="H156" s="42"/>
      <c r="I156" s="4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 x14ac:dyDescent="0.3">
      <c r="A157" s="41"/>
      <c r="B157" s="6"/>
      <c r="C157" s="6"/>
      <c r="D157" s="6"/>
      <c r="E157" s="6"/>
      <c r="F157" s="41"/>
      <c r="G157" s="6"/>
      <c r="H157" s="42"/>
      <c r="I157" s="4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 x14ac:dyDescent="0.3">
      <c r="A158" s="41"/>
      <c r="B158" s="6"/>
      <c r="C158" s="6"/>
      <c r="D158" s="6"/>
      <c r="E158" s="6"/>
      <c r="F158" s="41"/>
      <c r="G158" s="6"/>
      <c r="H158" s="42"/>
      <c r="I158" s="4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 x14ac:dyDescent="0.3">
      <c r="A159" s="41"/>
      <c r="B159" s="6"/>
      <c r="C159" s="6"/>
      <c r="D159" s="6"/>
      <c r="E159" s="6"/>
      <c r="F159" s="41"/>
      <c r="G159" s="6"/>
      <c r="H159" s="42"/>
      <c r="I159" s="4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 x14ac:dyDescent="0.3">
      <c r="A160" s="41"/>
      <c r="B160" s="6"/>
      <c r="C160" s="6"/>
      <c r="D160" s="6"/>
      <c r="E160" s="6"/>
      <c r="F160" s="41"/>
      <c r="G160" s="6"/>
      <c r="H160" s="42"/>
      <c r="I160" s="4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 x14ac:dyDescent="0.3">
      <c r="A161" s="41"/>
      <c r="B161" s="6"/>
      <c r="C161" s="6"/>
      <c r="D161" s="6"/>
      <c r="E161" s="6"/>
      <c r="F161" s="41"/>
      <c r="G161" s="6"/>
      <c r="H161" s="42"/>
      <c r="I161" s="4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 x14ac:dyDescent="0.3">
      <c r="A162" s="41"/>
      <c r="B162" s="6"/>
      <c r="C162" s="6"/>
      <c r="D162" s="6"/>
      <c r="E162" s="6"/>
      <c r="F162" s="41"/>
      <c r="G162" s="6"/>
      <c r="H162" s="42"/>
      <c r="I162" s="4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 x14ac:dyDescent="0.3">
      <c r="A163" s="41"/>
      <c r="B163" s="6"/>
      <c r="C163" s="6"/>
      <c r="D163" s="6"/>
      <c r="E163" s="6"/>
      <c r="F163" s="41"/>
      <c r="G163" s="6"/>
      <c r="H163" s="42"/>
      <c r="I163" s="4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 x14ac:dyDescent="0.3">
      <c r="A164" s="41"/>
      <c r="B164" s="6"/>
      <c r="C164" s="6"/>
      <c r="D164" s="6"/>
      <c r="E164" s="6"/>
      <c r="F164" s="41"/>
      <c r="G164" s="6"/>
      <c r="H164" s="42"/>
      <c r="I164" s="4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 x14ac:dyDescent="0.3">
      <c r="A165" s="41"/>
      <c r="B165" s="6"/>
      <c r="C165" s="6"/>
      <c r="D165" s="6"/>
      <c r="E165" s="6"/>
      <c r="F165" s="41"/>
      <c r="G165" s="6"/>
      <c r="H165" s="42"/>
      <c r="I165" s="4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 x14ac:dyDescent="0.3">
      <c r="A166" s="41"/>
      <c r="B166" s="6"/>
      <c r="C166" s="6"/>
      <c r="D166" s="6"/>
      <c r="E166" s="6"/>
      <c r="F166" s="41"/>
      <c r="G166" s="6"/>
      <c r="H166" s="42"/>
      <c r="I166" s="4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 x14ac:dyDescent="0.3">
      <c r="A167" s="41"/>
      <c r="B167" s="6"/>
      <c r="C167" s="6"/>
      <c r="D167" s="6"/>
      <c r="E167" s="6"/>
      <c r="F167" s="41"/>
      <c r="G167" s="6"/>
      <c r="H167" s="42"/>
      <c r="I167" s="4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 x14ac:dyDescent="0.3">
      <c r="A168" s="41"/>
      <c r="B168" s="6"/>
      <c r="C168" s="6"/>
      <c r="D168" s="6"/>
      <c r="E168" s="6"/>
      <c r="F168" s="41"/>
      <c r="G168" s="6"/>
      <c r="H168" s="42"/>
      <c r="I168" s="4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 x14ac:dyDescent="0.3">
      <c r="A169" s="41"/>
      <c r="B169" s="6"/>
      <c r="C169" s="6"/>
      <c r="D169" s="6"/>
      <c r="E169" s="6"/>
      <c r="F169" s="41"/>
      <c r="G169" s="6"/>
      <c r="H169" s="42"/>
      <c r="I169" s="4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 x14ac:dyDescent="0.3">
      <c r="A170" s="41"/>
      <c r="B170" s="6"/>
      <c r="C170" s="6"/>
      <c r="D170" s="6"/>
      <c r="E170" s="6"/>
      <c r="F170" s="41"/>
      <c r="G170" s="6"/>
      <c r="H170" s="42"/>
      <c r="I170" s="4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 x14ac:dyDescent="0.3">
      <c r="A171" s="41"/>
      <c r="B171" s="6"/>
      <c r="C171" s="6"/>
      <c r="D171" s="6"/>
      <c r="E171" s="6"/>
      <c r="F171" s="41"/>
      <c r="G171" s="6"/>
      <c r="H171" s="42"/>
      <c r="I171" s="4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 x14ac:dyDescent="0.3">
      <c r="A172" s="41"/>
      <c r="B172" s="6"/>
      <c r="C172" s="6"/>
      <c r="D172" s="6"/>
      <c r="E172" s="6"/>
      <c r="F172" s="41"/>
      <c r="G172" s="6"/>
      <c r="H172" s="42"/>
      <c r="I172" s="4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 x14ac:dyDescent="0.3">
      <c r="A173" s="41"/>
      <c r="B173" s="6"/>
      <c r="C173" s="6"/>
      <c r="D173" s="6"/>
      <c r="E173" s="6"/>
      <c r="F173" s="41"/>
      <c r="G173" s="6"/>
      <c r="H173" s="42"/>
      <c r="I173" s="4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 x14ac:dyDescent="0.3">
      <c r="A174" s="41"/>
      <c r="B174" s="6"/>
      <c r="C174" s="6"/>
      <c r="D174" s="6"/>
      <c r="E174" s="6"/>
      <c r="F174" s="41"/>
      <c r="G174" s="6"/>
      <c r="H174" s="42"/>
      <c r="I174" s="4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 x14ac:dyDescent="0.3">
      <c r="A175" s="41"/>
      <c r="B175" s="6"/>
      <c r="C175" s="6"/>
      <c r="D175" s="6"/>
      <c r="E175" s="6"/>
      <c r="F175" s="41"/>
      <c r="G175" s="6"/>
      <c r="H175" s="42"/>
      <c r="I175" s="4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 x14ac:dyDescent="0.3">
      <c r="A176" s="41"/>
      <c r="B176" s="6"/>
      <c r="C176" s="6"/>
      <c r="D176" s="6"/>
      <c r="E176" s="6"/>
      <c r="F176" s="41"/>
      <c r="G176" s="6"/>
      <c r="H176" s="42"/>
      <c r="I176" s="4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 x14ac:dyDescent="0.3">
      <c r="A177" s="41"/>
      <c r="B177" s="6"/>
      <c r="C177" s="6"/>
      <c r="D177" s="6"/>
      <c r="E177" s="6"/>
      <c r="F177" s="41"/>
      <c r="G177" s="6"/>
      <c r="H177" s="42"/>
      <c r="I177" s="4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 x14ac:dyDescent="0.3">
      <c r="A178" s="41"/>
      <c r="B178" s="6"/>
      <c r="C178" s="6"/>
      <c r="D178" s="6"/>
      <c r="E178" s="6"/>
      <c r="F178" s="41"/>
      <c r="G178" s="6"/>
      <c r="H178" s="42"/>
      <c r="I178" s="4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 x14ac:dyDescent="0.3">
      <c r="A179" s="41"/>
      <c r="B179" s="6"/>
      <c r="C179" s="6"/>
      <c r="D179" s="6"/>
      <c r="E179" s="6"/>
      <c r="F179" s="41"/>
      <c r="G179" s="6"/>
      <c r="H179" s="42"/>
      <c r="I179" s="4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 x14ac:dyDescent="0.3">
      <c r="A180" s="41"/>
      <c r="B180" s="6"/>
      <c r="C180" s="6"/>
      <c r="D180" s="6"/>
      <c r="E180" s="6"/>
      <c r="F180" s="41"/>
      <c r="G180" s="6"/>
      <c r="H180" s="42"/>
      <c r="I180" s="4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75" customHeight="1" x14ac:dyDescent="0.3">
      <c r="A181" s="41"/>
      <c r="B181" s="6"/>
      <c r="C181" s="6"/>
      <c r="D181" s="6"/>
      <c r="E181" s="6"/>
      <c r="F181" s="41"/>
      <c r="G181" s="6"/>
      <c r="H181" s="42"/>
      <c r="I181" s="4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75" customHeight="1" x14ac:dyDescent="0.3">
      <c r="A182" s="41"/>
      <c r="B182" s="6"/>
      <c r="C182" s="6"/>
      <c r="D182" s="6"/>
      <c r="E182" s="6"/>
      <c r="F182" s="41"/>
      <c r="G182" s="6"/>
      <c r="H182" s="42"/>
      <c r="I182" s="4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75" customHeight="1" x14ac:dyDescent="0.3">
      <c r="A183" s="41"/>
      <c r="B183" s="6"/>
      <c r="C183" s="6"/>
      <c r="D183" s="6"/>
      <c r="E183" s="6"/>
      <c r="F183" s="41"/>
      <c r="G183" s="6"/>
      <c r="H183" s="42"/>
      <c r="I183" s="4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75" customHeight="1" x14ac:dyDescent="0.3">
      <c r="A184" s="41"/>
      <c r="B184" s="6"/>
      <c r="C184" s="6"/>
      <c r="D184" s="6"/>
      <c r="E184" s="6"/>
      <c r="F184" s="41"/>
      <c r="G184" s="6"/>
      <c r="H184" s="42"/>
      <c r="I184" s="4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 x14ac:dyDescent="0.3">
      <c r="A185" s="41"/>
      <c r="B185" s="6"/>
      <c r="C185" s="6"/>
      <c r="D185" s="6"/>
      <c r="E185" s="6"/>
      <c r="F185" s="41"/>
      <c r="G185" s="6"/>
      <c r="H185" s="42"/>
      <c r="I185" s="4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75" customHeight="1" x14ac:dyDescent="0.3">
      <c r="A186" s="41"/>
      <c r="B186" s="6"/>
      <c r="C186" s="6"/>
      <c r="D186" s="6"/>
      <c r="E186" s="6"/>
      <c r="F186" s="41"/>
      <c r="G186" s="6"/>
      <c r="H186" s="42"/>
      <c r="I186" s="4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75" customHeight="1" x14ac:dyDescent="0.3">
      <c r="A187" s="41"/>
      <c r="B187" s="6"/>
      <c r="C187" s="6"/>
      <c r="D187" s="6"/>
      <c r="E187" s="6"/>
      <c r="F187" s="41"/>
      <c r="G187" s="6"/>
      <c r="H187" s="42"/>
      <c r="I187" s="4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.75" customHeight="1" x14ac:dyDescent="0.3">
      <c r="A188" s="41"/>
      <c r="B188" s="6"/>
      <c r="C188" s="6"/>
      <c r="D188" s="6"/>
      <c r="E188" s="6"/>
      <c r="F188" s="41"/>
      <c r="G188" s="6"/>
      <c r="H188" s="42"/>
      <c r="I188" s="4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75" customHeight="1" x14ac:dyDescent="0.3">
      <c r="A189" s="41"/>
      <c r="B189" s="6"/>
      <c r="C189" s="6"/>
      <c r="D189" s="6"/>
      <c r="E189" s="6"/>
      <c r="F189" s="41"/>
      <c r="G189" s="6"/>
      <c r="H189" s="42"/>
      <c r="I189" s="4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 x14ac:dyDescent="0.3">
      <c r="A190" s="41"/>
      <c r="B190" s="6"/>
      <c r="C190" s="6"/>
      <c r="D190" s="6"/>
      <c r="E190" s="6"/>
      <c r="F190" s="41"/>
      <c r="G190" s="6"/>
      <c r="H190" s="42"/>
      <c r="I190" s="4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.75" customHeight="1" x14ac:dyDescent="0.3">
      <c r="A191" s="41"/>
      <c r="B191" s="6"/>
      <c r="C191" s="6"/>
      <c r="D191" s="6"/>
      <c r="E191" s="6"/>
      <c r="F191" s="41"/>
      <c r="G191" s="6"/>
      <c r="H191" s="42"/>
      <c r="I191" s="4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75" customHeight="1" x14ac:dyDescent="0.3">
      <c r="A192" s="41"/>
      <c r="B192" s="6"/>
      <c r="C192" s="6"/>
      <c r="D192" s="6"/>
      <c r="E192" s="6"/>
      <c r="F192" s="41"/>
      <c r="G192" s="6"/>
      <c r="H192" s="42"/>
      <c r="I192" s="4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.75" customHeight="1" x14ac:dyDescent="0.3">
      <c r="A193" s="41"/>
      <c r="B193" s="6"/>
      <c r="C193" s="6"/>
      <c r="D193" s="6"/>
      <c r="E193" s="6"/>
      <c r="F193" s="41"/>
      <c r="G193" s="6"/>
      <c r="H193" s="42"/>
      <c r="I193" s="4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75" customHeight="1" x14ac:dyDescent="0.3">
      <c r="A194" s="41"/>
      <c r="B194" s="6"/>
      <c r="C194" s="6"/>
      <c r="D194" s="6"/>
      <c r="E194" s="6"/>
      <c r="F194" s="41"/>
      <c r="G194" s="6"/>
      <c r="H194" s="42"/>
      <c r="I194" s="4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 x14ac:dyDescent="0.3">
      <c r="A195" s="41"/>
      <c r="B195" s="6"/>
      <c r="C195" s="6"/>
      <c r="D195" s="6"/>
      <c r="E195" s="6"/>
      <c r="F195" s="41"/>
      <c r="G195" s="6"/>
      <c r="H195" s="42"/>
      <c r="I195" s="4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.75" customHeight="1" x14ac:dyDescent="0.3">
      <c r="A196" s="41"/>
      <c r="B196" s="6"/>
      <c r="C196" s="6"/>
      <c r="D196" s="6"/>
      <c r="E196" s="6"/>
      <c r="F196" s="41"/>
      <c r="G196" s="6"/>
      <c r="H196" s="42"/>
      <c r="I196" s="4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75" customHeight="1" x14ac:dyDescent="0.3">
      <c r="A197" s="41"/>
      <c r="B197" s="6"/>
      <c r="C197" s="6"/>
      <c r="D197" s="6"/>
      <c r="E197" s="6"/>
      <c r="F197" s="41"/>
      <c r="G197" s="6"/>
      <c r="H197" s="42"/>
      <c r="I197" s="4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.75" customHeight="1" x14ac:dyDescent="0.3">
      <c r="A198" s="41"/>
      <c r="B198" s="6"/>
      <c r="C198" s="6"/>
      <c r="D198" s="6"/>
      <c r="E198" s="6"/>
      <c r="F198" s="41"/>
      <c r="G198" s="6"/>
      <c r="H198" s="42"/>
      <c r="I198" s="4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75" customHeight="1" x14ac:dyDescent="0.3">
      <c r="A199" s="41"/>
      <c r="B199" s="6"/>
      <c r="C199" s="6"/>
      <c r="D199" s="6"/>
      <c r="E199" s="6"/>
      <c r="F199" s="41"/>
      <c r="G199" s="6"/>
      <c r="H199" s="42"/>
      <c r="I199" s="4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75" customHeight="1" x14ac:dyDescent="0.3">
      <c r="A200" s="41"/>
      <c r="B200" s="6"/>
      <c r="C200" s="6"/>
      <c r="D200" s="6"/>
      <c r="E200" s="6"/>
      <c r="F200" s="41"/>
      <c r="G200" s="6"/>
      <c r="H200" s="42"/>
      <c r="I200" s="4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.75" customHeight="1" x14ac:dyDescent="0.3">
      <c r="A201" s="41"/>
      <c r="B201" s="6"/>
      <c r="C201" s="6"/>
      <c r="D201" s="6"/>
      <c r="E201" s="6"/>
      <c r="F201" s="41"/>
      <c r="G201" s="6"/>
      <c r="H201" s="42"/>
      <c r="I201" s="4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75" customHeight="1" x14ac:dyDescent="0.3">
      <c r="A202" s="41"/>
      <c r="B202" s="6"/>
      <c r="C202" s="6"/>
      <c r="D202" s="6"/>
      <c r="E202" s="6"/>
      <c r="F202" s="41"/>
      <c r="G202" s="6"/>
      <c r="H202" s="42"/>
      <c r="I202" s="4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.75" customHeight="1" x14ac:dyDescent="0.3">
      <c r="A203" s="41"/>
      <c r="B203" s="6"/>
      <c r="C203" s="6"/>
      <c r="D203" s="6"/>
      <c r="E203" s="6"/>
      <c r="F203" s="41"/>
      <c r="G203" s="6"/>
      <c r="H203" s="42"/>
      <c r="I203" s="4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75" customHeight="1" x14ac:dyDescent="0.3">
      <c r="A204" s="41"/>
      <c r="B204" s="6"/>
      <c r="C204" s="6"/>
      <c r="D204" s="6"/>
      <c r="E204" s="6"/>
      <c r="F204" s="41"/>
      <c r="G204" s="6"/>
      <c r="H204" s="42"/>
      <c r="I204" s="4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75" customHeight="1" x14ac:dyDescent="0.3">
      <c r="A205" s="41"/>
      <c r="B205" s="6"/>
      <c r="C205" s="6"/>
      <c r="D205" s="6"/>
      <c r="E205" s="6"/>
      <c r="F205" s="41"/>
      <c r="G205" s="6"/>
      <c r="H205" s="42"/>
      <c r="I205" s="4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.75" customHeight="1" x14ac:dyDescent="0.3">
      <c r="A206" s="41"/>
      <c r="B206" s="6"/>
      <c r="C206" s="6"/>
      <c r="D206" s="6"/>
      <c r="E206" s="6"/>
      <c r="F206" s="41"/>
      <c r="G206" s="6"/>
      <c r="H206" s="42"/>
      <c r="I206" s="4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customHeight="1" x14ac:dyDescent="0.3">
      <c r="A207" s="41"/>
      <c r="B207" s="6"/>
      <c r="C207" s="6"/>
      <c r="D207" s="6"/>
      <c r="E207" s="6"/>
      <c r="F207" s="41"/>
      <c r="G207" s="6"/>
      <c r="H207" s="42"/>
      <c r="I207" s="4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.75" customHeight="1" x14ac:dyDescent="0.3">
      <c r="A208" s="41"/>
      <c r="B208" s="6"/>
      <c r="C208" s="6"/>
      <c r="D208" s="6"/>
      <c r="E208" s="6"/>
      <c r="F208" s="41"/>
      <c r="G208" s="6"/>
      <c r="H208" s="42"/>
      <c r="I208" s="4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75" customHeight="1" x14ac:dyDescent="0.3">
      <c r="A209" s="41"/>
      <c r="B209" s="6"/>
      <c r="C209" s="6"/>
      <c r="D209" s="6"/>
      <c r="E209" s="6"/>
      <c r="F209" s="41"/>
      <c r="G209" s="6"/>
      <c r="H209" s="42"/>
      <c r="I209" s="4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75" customHeight="1" x14ac:dyDescent="0.3">
      <c r="A210" s="41"/>
      <c r="B210" s="6"/>
      <c r="C210" s="6"/>
      <c r="D210" s="6"/>
      <c r="E210" s="6"/>
      <c r="F210" s="41"/>
      <c r="G210" s="6"/>
      <c r="H210" s="42"/>
      <c r="I210" s="4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.75" customHeight="1" x14ac:dyDescent="0.3">
      <c r="A211" s="41"/>
      <c r="B211" s="6"/>
      <c r="C211" s="6"/>
      <c r="D211" s="6"/>
      <c r="E211" s="6"/>
      <c r="F211" s="41"/>
      <c r="G211" s="6"/>
      <c r="H211" s="42"/>
      <c r="I211" s="4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75" customHeight="1" x14ac:dyDescent="0.3">
      <c r="A212" s="41"/>
      <c r="B212" s="6"/>
      <c r="C212" s="6"/>
      <c r="D212" s="6"/>
      <c r="E212" s="6"/>
      <c r="F212" s="41"/>
      <c r="G212" s="6"/>
      <c r="H212" s="42"/>
      <c r="I212" s="4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.75" customHeight="1" x14ac:dyDescent="0.3">
      <c r="A213" s="41"/>
      <c r="B213" s="6"/>
      <c r="C213" s="6"/>
      <c r="D213" s="6"/>
      <c r="E213" s="6"/>
      <c r="F213" s="41"/>
      <c r="G213" s="6"/>
      <c r="H213" s="42"/>
      <c r="I213" s="4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75" customHeight="1" x14ac:dyDescent="0.3">
      <c r="A214" s="41"/>
      <c r="B214" s="6"/>
      <c r="C214" s="6"/>
      <c r="D214" s="6"/>
      <c r="E214" s="6"/>
      <c r="F214" s="41"/>
      <c r="G214" s="6"/>
      <c r="H214" s="42"/>
      <c r="I214" s="4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75" customHeight="1" x14ac:dyDescent="0.3">
      <c r="A215" s="41"/>
      <c r="B215" s="6"/>
      <c r="C215" s="6"/>
      <c r="D215" s="6"/>
      <c r="E215" s="6"/>
      <c r="F215" s="41"/>
      <c r="G215" s="6"/>
      <c r="H215" s="42"/>
      <c r="I215" s="4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.75" customHeight="1" x14ac:dyDescent="0.3">
      <c r="A216" s="41"/>
      <c r="B216" s="6"/>
      <c r="C216" s="6"/>
      <c r="D216" s="6"/>
      <c r="E216" s="6"/>
      <c r="F216" s="41"/>
      <c r="G216" s="6"/>
      <c r="H216" s="42"/>
      <c r="I216" s="4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75" customHeight="1" x14ac:dyDescent="0.3">
      <c r="A217" s="41"/>
      <c r="B217" s="6"/>
      <c r="C217" s="6"/>
      <c r="D217" s="6"/>
      <c r="E217" s="6"/>
      <c r="F217" s="41"/>
      <c r="G217" s="6"/>
      <c r="H217" s="42"/>
      <c r="I217" s="4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.75" customHeight="1" x14ac:dyDescent="0.3">
      <c r="A218" s="41"/>
      <c r="B218" s="6"/>
      <c r="C218" s="6"/>
      <c r="D218" s="6"/>
      <c r="E218" s="6"/>
      <c r="F218" s="41"/>
      <c r="G218" s="6"/>
      <c r="H218" s="42"/>
      <c r="I218" s="4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75" customHeight="1" x14ac:dyDescent="0.3">
      <c r="A219" s="41"/>
      <c r="B219" s="6"/>
      <c r="C219" s="6"/>
      <c r="D219" s="6"/>
      <c r="E219" s="6"/>
      <c r="F219" s="41"/>
      <c r="G219" s="6"/>
      <c r="H219" s="42"/>
      <c r="I219" s="4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75" customHeight="1" x14ac:dyDescent="0.3">
      <c r="A220" s="41"/>
      <c r="B220" s="6"/>
      <c r="C220" s="6"/>
      <c r="D220" s="6"/>
      <c r="E220" s="6"/>
      <c r="F220" s="41"/>
      <c r="G220" s="6"/>
      <c r="H220" s="42"/>
      <c r="I220" s="4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.75" customHeight="1" x14ac:dyDescent="0.3">
      <c r="A221" s="41"/>
      <c r="B221" s="6"/>
      <c r="C221" s="6"/>
      <c r="D221" s="6"/>
      <c r="E221" s="6"/>
      <c r="F221" s="41"/>
      <c r="G221" s="6"/>
      <c r="H221" s="42"/>
      <c r="I221" s="4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.75" customHeight="1" x14ac:dyDescent="0.3">
      <c r="A222" s="41"/>
      <c r="B222" s="6"/>
      <c r="C222" s="6"/>
      <c r="D222" s="6"/>
      <c r="E222" s="6"/>
      <c r="F222" s="41"/>
      <c r="G222" s="6"/>
      <c r="H222" s="42"/>
      <c r="I222" s="4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.75" customHeight="1" x14ac:dyDescent="0.3">
      <c r="A223" s="41"/>
      <c r="B223" s="6"/>
      <c r="C223" s="6"/>
      <c r="D223" s="6"/>
      <c r="E223" s="6"/>
      <c r="F223" s="41"/>
      <c r="G223" s="6"/>
      <c r="H223" s="42"/>
      <c r="I223" s="4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.75" customHeight="1" x14ac:dyDescent="0.3">
      <c r="A224" s="41"/>
      <c r="B224" s="6"/>
      <c r="C224" s="6"/>
      <c r="D224" s="6"/>
      <c r="E224" s="6"/>
      <c r="F224" s="41"/>
      <c r="G224" s="6"/>
      <c r="H224" s="42"/>
      <c r="I224" s="4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.75" customHeight="1" x14ac:dyDescent="0.3">
      <c r="A225" s="41"/>
      <c r="B225" s="6"/>
      <c r="C225" s="6"/>
      <c r="D225" s="6"/>
      <c r="E225" s="6"/>
      <c r="F225" s="41"/>
      <c r="G225" s="6"/>
      <c r="H225" s="42"/>
      <c r="I225" s="4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.75" customHeight="1" x14ac:dyDescent="0.3">
      <c r="A226" s="41"/>
      <c r="B226" s="6"/>
      <c r="C226" s="6"/>
      <c r="D226" s="6"/>
      <c r="E226" s="6"/>
      <c r="F226" s="41"/>
      <c r="G226" s="6"/>
      <c r="H226" s="42"/>
      <c r="I226" s="4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.75" customHeight="1" x14ac:dyDescent="0.3">
      <c r="A227" s="41"/>
      <c r="B227" s="6"/>
      <c r="C227" s="6"/>
      <c r="D227" s="6"/>
      <c r="E227" s="6"/>
      <c r="F227" s="41"/>
      <c r="G227" s="6"/>
      <c r="H227" s="42"/>
      <c r="I227" s="4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.75" customHeight="1" x14ac:dyDescent="0.3">
      <c r="A228" s="41"/>
      <c r="B228" s="6"/>
      <c r="C228" s="6"/>
      <c r="D228" s="6"/>
      <c r="E228" s="6"/>
      <c r="F228" s="41"/>
      <c r="G228" s="6"/>
      <c r="H228" s="42"/>
      <c r="I228" s="42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.75" customHeight="1" x14ac:dyDescent="0.3">
      <c r="A229" s="41"/>
      <c r="B229" s="6"/>
      <c r="C229" s="6"/>
      <c r="D229" s="6"/>
      <c r="E229" s="6"/>
      <c r="F229" s="41"/>
      <c r="G229" s="6"/>
      <c r="H229" s="42"/>
      <c r="I229" s="42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.75" customHeight="1" x14ac:dyDescent="0.3">
      <c r="A230" s="41"/>
      <c r="B230" s="6"/>
      <c r="C230" s="6"/>
      <c r="D230" s="6"/>
      <c r="E230" s="6"/>
      <c r="F230" s="41"/>
      <c r="G230" s="6"/>
      <c r="H230" s="42"/>
      <c r="I230" s="42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.75" customHeight="1" x14ac:dyDescent="0.3">
      <c r="A231" s="41"/>
      <c r="B231" s="6"/>
      <c r="C231" s="6"/>
      <c r="D231" s="6"/>
      <c r="E231" s="6"/>
      <c r="F231" s="41"/>
      <c r="G231" s="6"/>
      <c r="H231" s="42"/>
      <c r="I231" s="42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.75" customHeight="1" x14ac:dyDescent="0.3">
      <c r="A232" s="41"/>
      <c r="B232" s="6"/>
      <c r="C232" s="6"/>
      <c r="D232" s="6"/>
      <c r="E232" s="6"/>
      <c r="F232" s="41"/>
      <c r="G232" s="6"/>
      <c r="H232" s="42"/>
      <c r="I232" s="42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.75" customHeight="1" x14ac:dyDescent="0.3">
      <c r="A233" s="41"/>
      <c r="B233" s="6"/>
      <c r="C233" s="6"/>
      <c r="D233" s="6"/>
      <c r="E233" s="6"/>
      <c r="F233" s="41"/>
      <c r="G233" s="6"/>
      <c r="H233" s="42"/>
      <c r="I233" s="42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.75" customHeight="1" x14ac:dyDescent="0.3">
      <c r="A234" s="41"/>
      <c r="B234" s="6"/>
      <c r="C234" s="6"/>
      <c r="D234" s="6"/>
      <c r="E234" s="6"/>
      <c r="F234" s="41"/>
      <c r="G234" s="6"/>
      <c r="H234" s="42"/>
      <c r="I234" s="42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75" customHeight="1" x14ac:dyDescent="0.3">
      <c r="A235" s="41"/>
      <c r="B235" s="6"/>
      <c r="C235" s="6"/>
      <c r="D235" s="6"/>
      <c r="E235" s="6"/>
      <c r="F235" s="41"/>
      <c r="G235" s="6"/>
      <c r="H235" s="42"/>
      <c r="I235" s="42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.75" customHeight="1" x14ac:dyDescent="0.3">
      <c r="A236" s="41"/>
      <c r="B236" s="6"/>
      <c r="C236" s="6"/>
      <c r="D236" s="6"/>
      <c r="E236" s="6"/>
      <c r="F236" s="41"/>
      <c r="G236" s="6"/>
      <c r="H236" s="42"/>
      <c r="I236" s="42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75" customHeight="1" x14ac:dyDescent="0.3">
      <c r="A237" s="41"/>
      <c r="B237" s="6"/>
      <c r="C237" s="6"/>
      <c r="D237" s="6"/>
      <c r="E237" s="6"/>
      <c r="F237" s="41"/>
      <c r="G237" s="6"/>
      <c r="H237" s="42"/>
      <c r="I237" s="42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.75" customHeight="1" x14ac:dyDescent="0.3">
      <c r="A238" s="41"/>
      <c r="B238" s="6"/>
      <c r="C238" s="6"/>
      <c r="D238" s="6"/>
      <c r="E238" s="6"/>
      <c r="F238" s="41"/>
      <c r="G238" s="6"/>
      <c r="H238" s="42"/>
      <c r="I238" s="42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75" customHeight="1" x14ac:dyDescent="0.3">
      <c r="A239" s="41"/>
      <c r="B239" s="6"/>
      <c r="C239" s="6"/>
      <c r="D239" s="6"/>
      <c r="E239" s="6"/>
      <c r="F239" s="41"/>
      <c r="G239" s="6"/>
      <c r="H239" s="42"/>
      <c r="I239" s="42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75" customHeight="1" x14ac:dyDescent="0.3">
      <c r="A240" s="41"/>
      <c r="B240" s="6"/>
      <c r="C240" s="6"/>
      <c r="D240" s="6"/>
      <c r="E240" s="6"/>
      <c r="F240" s="41"/>
      <c r="G240" s="6"/>
      <c r="H240" s="42"/>
      <c r="I240" s="42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.75" customHeight="1" x14ac:dyDescent="0.3">
      <c r="A241" s="41"/>
      <c r="B241" s="6"/>
      <c r="C241" s="6"/>
      <c r="D241" s="6"/>
      <c r="E241" s="6"/>
      <c r="F241" s="41"/>
      <c r="G241" s="6"/>
      <c r="H241" s="42"/>
      <c r="I241" s="42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75" customHeight="1" x14ac:dyDescent="0.3">
      <c r="A242" s="41"/>
      <c r="B242" s="6"/>
      <c r="C242" s="6"/>
      <c r="D242" s="6"/>
      <c r="E242" s="6"/>
      <c r="F242" s="41"/>
      <c r="G242" s="6"/>
      <c r="H242" s="42"/>
      <c r="I242" s="42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.75" customHeight="1" x14ac:dyDescent="0.3">
      <c r="A243" s="41"/>
      <c r="B243" s="6"/>
      <c r="C243" s="6"/>
      <c r="D243" s="6"/>
      <c r="E243" s="6"/>
      <c r="F243" s="41"/>
      <c r="G243" s="6"/>
      <c r="H243" s="42"/>
      <c r="I243" s="42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75" customHeight="1" x14ac:dyDescent="0.3">
      <c r="A244" s="41"/>
      <c r="B244" s="6"/>
      <c r="C244" s="6"/>
      <c r="D244" s="6"/>
      <c r="E244" s="6"/>
      <c r="F244" s="41"/>
      <c r="G244" s="6"/>
      <c r="H244" s="42"/>
      <c r="I244" s="42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.75" customHeight="1" x14ac:dyDescent="0.3">
      <c r="A245" s="41"/>
      <c r="B245" s="6"/>
      <c r="C245" s="6"/>
      <c r="D245" s="6"/>
      <c r="E245" s="6"/>
      <c r="F245" s="41"/>
      <c r="G245" s="6"/>
      <c r="H245" s="42"/>
      <c r="I245" s="42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.75" customHeight="1" x14ac:dyDescent="0.3">
      <c r="A246" s="41"/>
      <c r="B246" s="6"/>
      <c r="C246" s="6"/>
      <c r="D246" s="6"/>
      <c r="E246" s="6"/>
      <c r="F246" s="41"/>
      <c r="G246" s="6"/>
      <c r="H246" s="42"/>
      <c r="I246" s="42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75" customHeight="1" x14ac:dyDescent="0.3">
      <c r="A247" s="41"/>
      <c r="B247" s="6"/>
      <c r="C247" s="6"/>
      <c r="D247" s="6"/>
      <c r="E247" s="6"/>
      <c r="F247" s="41"/>
      <c r="G247" s="6"/>
      <c r="H247" s="42"/>
      <c r="I247" s="42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.75" customHeight="1" x14ac:dyDescent="0.3">
      <c r="A248" s="41"/>
      <c r="B248" s="6"/>
      <c r="C248" s="6"/>
      <c r="D248" s="6"/>
      <c r="E248" s="6"/>
      <c r="F248" s="41"/>
      <c r="G248" s="6"/>
      <c r="H248" s="42"/>
      <c r="I248" s="42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.75" customHeight="1" x14ac:dyDescent="0.3">
      <c r="A249" s="41"/>
      <c r="B249" s="6"/>
      <c r="C249" s="6"/>
      <c r="D249" s="6"/>
      <c r="E249" s="6"/>
      <c r="F249" s="41"/>
      <c r="G249" s="6"/>
      <c r="H249" s="42"/>
      <c r="I249" s="4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.75" customHeight="1" x14ac:dyDescent="0.3">
      <c r="A250" s="41"/>
      <c r="B250" s="6"/>
      <c r="C250" s="6"/>
      <c r="D250" s="6"/>
      <c r="E250" s="6"/>
      <c r="F250" s="41"/>
      <c r="G250" s="6"/>
      <c r="H250" s="42"/>
      <c r="I250" s="42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.75" customHeight="1" x14ac:dyDescent="0.3">
      <c r="A251" s="41"/>
      <c r="B251" s="6"/>
      <c r="C251" s="6"/>
      <c r="D251" s="6"/>
      <c r="E251" s="6"/>
      <c r="F251" s="41"/>
      <c r="G251" s="6"/>
      <c r="H251" s="42"/>
      <c r="I251" s="42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.75" customHeight="1" x14ac:dyDescent="0.3">
      <c r="A252" s="41"/>
      <c r="B252" s="6"/>
      <c r="C252" s="6"/>
      <c r="D252" s="6"/>
      <c r="E252" s="6"/>
      <c r="F252" s="41"/>
      <c r="G252" s="6"/>
      <c r="H252" s="42"/>
      <c r="I252" s="42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.75" customHeight="1" x14ac:dyDescent="0.3">
      <c r="A253" s="41"/>
      <c r="B253" s="6"/>
      <c r="C253" s="6"/>
      <c r="D253" s="6"/>
      <c r="E253" s="6"/>
      <c r="F253" s="41"/>
      <c r="G253" s="6"/>
      <c r="H253" s="42"/>
      <c r="I253" s="4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.75" customHeight="1" x14ac:dyDescent="0.3">
      <c r="A254" s="41"/>
      <c r="B254" s="6"/>
      <c r="C254" s="6"/>
      <c r="D254" s="6"/>
      <c r="E254" s="6"/>
      <c r="F254" s="41"/>
      <c r="G254" s="6"/>
      <c r="H254" s="42"/>
      <c r="I254" s="4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.75" customHeight="1" x14ac:dyDescent="0.3">
      <c r="A255" s="41"/>
      <c r="B255" s="6"/>
      <c r="C255" s="6"/>
      <c r="D255" s="6"/>
      <c r="E255" s="6"/>
      <c r="F255" s="41"/>
      <c r="G255" s="6"/>
      <c r="H255" s="42"/>
      <c r="I255" s="4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.75" customHeight="1" x14ac:dyDescent="0.3">
      <c r="A256" s="41"/>
      <c r="B256" s="6"/>
      <c r="C256" s="6"/>
      <c r="D256" s="6"/>
      <c r="E256" s="6"/>
      <c r="F256" s="41"/>
      <c r="G256" s="6"/>
      <c r="H256" s="42"/>
      <c r="I256" s="4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.75" customHeight="1" x14ac:dyDescent="0.3">
      <c r="A257" s="41"/>
      <c r="B257" s="6"/>
      <c r="C257" s="6"/>
      <c r="D257" s="6"/>
      <c r="E257" s="6"/>
      <c r="F257" s="41"/>
      <c r="G257" s="6"/>
      <c r="H257" s="42"/>
      <c r="I257" s="4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.75" customHeight="1" x14ac:dyDescent="0.3">
      <c r="A258" s="41"/>
      <c r="B258" s="6"/>
      <c r="C258" s="6"/>
      <c r="D258" s="6"/>
      <c r="E258" s="6"/>
      <c r="F258" s="41"/>
      <c r="G258" s="6"/>
      <c r="H258" s="42"/>
      <c r="I258" s="4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.75" customHeight="1" x14ac:dyDescent="0.3">
      <c r="A259" s="41"/>
      <c r="B259" s="6"/>
      <c r="C259" s="6"/>
      <c r="D259" s="6"/>
      <c r="E259" s="6"/>
      <c r="F259" s="41"/>
      <c r="G259" s="6"/>
      <c r="H259" s="42"/>
      <c r="I259" s="4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.75" customHeight="1" x14ac:dyDescent="0.3">
      <c r="A260" s="41"/>
      <c r="B260" s="6"/>
      <c r="C260" s="6"/>
      <c r="D260" s="6"/>
      <c r="E260" s="6"/>
      <c r="F260" s="41"/>
      <c r="G260" s="6"/>
      <c r="H260" s="42"/>
      <c r="I260" s="4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.75" customHeight="1" x14ac:dyDescent="0.3">
      <c r="A261" s="41"/>
      <c r="B261" s="6"/>
      <c r="C261" s="6"/>
      <c r="D261" s="6"/>
      <c r="E261" s="6"/>
      <c r="F261" s="41"/>
      <c r="G261" s="6"/>
      <c r="H261" s="42"/>
      <c r="I261" s="4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.75" customHeight="1" x14ac:dyDescent="0.3">
      <c r="A262" s="41"/>
      <c r="B262" s="6"/>
      <c r="C262" s="6"/>
      <c r="D262" s="6"/>
      <c r="E262" s="6"/>
      <c r="F262" s="41"/>
      <c r="G262" s="6"/>
      <c r="H262" s="42"/>
      <c r="I262" s="4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.75" customHeight="1" x14ac:dyDescent="0.3">
      <c r="A263" s="41"/>
      <c r="B263" s="6"/>
      <c r="C263" s="6"/>
      <c r="D263" s="6"/>
      <c r="E263" s="6"/>
      <c r="F263" s="41"/>
      <c r="G263" s="6"/>
      <c r="H263" s="42"/>
      <c r="I263" s="4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.75" customHeight="1" x14ac:dyDescent="0.3">
      <c r="A264" s="41"/>
      <c r="B264" s="6"/>
      <c r="C264" s="6"/>
      <c r="D264" s="6"/>
      <c r="E264" s="6"/>
      <c r="F264" s="41"/>
      <c r="G264" s="6"/>
      <c r="H264" s="42"/>
      <c r="I264" s="4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.75" customHeight="1" x14ac:dyDescent="0.3">
      <c r="A265" s="41"/>
      <c r="B265" s="6"/>
      <c r="C265" s="6"/>
      <c r="D265" s="6"/>
      <c r="E265" s="6"/>
      <c r="F265" s="41"/>
      <c r="G265" s="6"/>
      <c r="H265" s="42"/>
      <c r="I265" s="4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.75" customHeight="1" x14ac:dyDescent="0.3">
      <c r="A266" s="41"/>
      <c r="B266" s="6"/>
      <c r="C266" s="6"/>
      <c r="D266" s="6"/>
      <c r="E266" s="6"/>
      <c r="F266" s="41"/>
      <c r="G266" s="6"/>
      <c r="H266" s="42"/>
      <c r="I266" s="4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.75" customHeight="1" x14ac:dyDescent="0.3">
      <c r="A267" s="41"/>
      <c r="B267" s="6"/>
      <c r="C267" s="6"/>
      <c r="D267" s="6"/>
      <c r="E267" s="6"/>
      <c r="F267" s="41"/>
      <c r="G267" s="6"/>
      <c r="H267" s="42"/>
      <c r="I267" s="4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.75" customHeight="1" x14ac:dyDescent="0.3">
      <c r="A268" s="41"/>
      <c r="B268" s="6"/>
      <c r="C268" s="6"/>
      <c r="D268" s="6"/>
      <c r="E268" s="6"/>
      <c r="F268" s="41"/>
      <c r="G268" s="6"/>
      <c r="H268" s="42"/>
      <c r="I268" s="4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.75" customHeight="1" x14ac:dyDescent="0.3">
      <c r="A269" s="41"/>
      <c r="B269" s="6"/>
      <c r="C269" s="6"/>
      <c r="D269" s="6"/>
      <c r="E269" s="6"/>
      <c r="F269" s="41"/>
      <c r="G269" s="6"/>
      <c r="H269" s="42"/>
      <c r="I269" s="4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.75" customHeight="1" x14ac:dyDescent="0.3">
      <c r="A270" s="41"/>
      <c r="B270" s="6"/>
      <c r="C270" s="6"/>
      <c r="D270" s="6"/>
      <c r="E270" s="6"/>
      <c r="F270" s="41"/>
      <c r="G270" s="6"/>
      <c r="H270" s="42"/>
      <c r="I270" s="4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.75" customHeight="1" x14ac:dyDescent="0.3">
      <c r="A271" s="41"/>
      <c r="B271" s="6"/>
      <c r="C271" s="6"/>
      <c r="D271" s="6"/>
      <c r="E271" s="6"/>
      <c r="F271" s="41"/>
      <c r="G271" s="6"/>
      <c r="H271" s="42"/>
      <c r="I271" s="4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.75" customHeight="1" x14ac:dyDescent="0.3">
      <c r="A272" s="41"/>
      <c r="B272" s="6"/>
      <c r="C272" s="6"/>
      <c r="D272" s="6"/>
      <c r="E272" s="6"/>
      <c r="F272" s="41"/>
      <c r="G272" s="6"/>
      <c r="H272" s="42"/>
      <c r="I272" s="4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.75" customHeight="1" x14ac:dyDescent="0.3">
      <c r="A273" s="41"/>
      <c r="B273" s="6"/>
      <c r="C273" s="6"/>
      <c r="D273" s="6"/>
      <c r="E273" s="6"/>
      <c r="F273" s="41"/>
      <c r="G273" s="6"/>
      <c r="H273" s="42"/>
      <c r="I273" s="4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.75" customHeight="1" x14ac:dyDescent="0.3">
      <c r="A274" s="41"/>
      <c r="B274" s="6"/>
      <c r="C274" s="6"/>
      <c r="D274" s="6"/>
      <c r="E274" s="6"/>
      <c r="F274" s="41"/>
      <c r="G274" s="6"/>
      <c r="H274" s="42"/>
      <c r="I274" s="4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.75" customHeight="1" x14ac:dyDescent="0.3">
      <c r="A275" s="41"/>
      <c r="B275" s="6"/>
      <c r="C275" s="6"/>
      <c r="D275" s="6"/>
      <c r="E275" s="6"/>
      <c r="F275" s="41"/>
      <c r="G275" s="6"/>
      <c r="H275" s="42"/>
      <c r="I275" s="4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.75" customHeight="1" x14ac:dyDescent="0.3">
      <c r="A276" s="41"/>
      <c r="B276" s="6"/>
      <c r="C276" s="6"/>
      <c r="D276" s="6"/>
      <c r="E276" s="6"/>
      <c r="F276" s="41"/>
      <c r="G276" s="6"/>
      <c r="H276" s="42"/>
      <c r="I276" s="4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.75" customHeight="1" x14ac:dyDescent="0.3">
      <c r="A277" s="41"/>
      <c r="B277" s="6"/>
      <c r="C277" s="6"/>
      <c r="D277" s="6"/>
      <c r="E277" s="6"/>
      <c r="F277" s="41"/>
      <c r="G277" s="6"/>
      <c r="H277" s="42"/>
      <c r="I277" s="4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.75" customHeight="1" x14ac:dyDescent="0.3">
      <c r="A278" s="41"/>
      <c r="B278" s="6"/>
      <c r="C278" s="6"/>
      <c r="D278" s="6"/>
      <c r="E278" s="6"/>
      <c r="F278" s="41"/>
      <c r="G278" s="6"/>
      <c r="H278" s="42"/>
      <c r="I278" s="4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.75" customHeight="1" x14ac:dyDescent="0.3">
      <c r="A279" s="41"/>
      <c r="B279" s="6"/>
      <c r="C279" s="6"/>
      <c r="D279" s="6"/>
      <c r="E279" s="6"/>
      <c r="F279" s="41"/>
      <c r="G279" s="6"/>
      <c r="H279" s="42"/>
      <c r="I279" s="4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.75" customHeight="1" x14ac:dyDescent="0.3">
      <c r="A280" s="41"/>
      <c r="B280" s="6"/>
      <c r="C280" s="6"/>
      <c r="D280" s="6"/>
      <c r="E280" s="6"/>
      <c r="F280" s="41"/>
      <c r="G280" s="6"/>
      <c r="H280" s="42"/>
      <c r="I280" s="4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.75" customHeight="1" x14ac:dyDescent="0.3">
      <c r="A281" s="41"/>
      <c r="B281" s="6"/>
      <c r="C281" s="6"/>
      <c r="D281" s="6"/>
      <c r="E281" s="6"/>
      <c r="F281" s="41"/>
      <c r="G281" s="6"/>
      <c r="H281" s="42"/>
      <c r="I281" s="4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.75" customHeight="1" x14ac:dyDescent="0.3">
      <c r="A282" s="41"/>
      <c r="B282" s="6"/>
      <c r="C282" s="6"/>
      <c r="D282" s="6"/>
      <c r="E282" s="6"/>
      <c r="F282" s="41"/>
      <c r="G282" s="6"/>
      <c r="H282" s="42"/>
      <c r="I282" s="42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.75" customHeight="1" x14ac:dyDescent="0.3">
      <c r="A283" s="41"/>
      <c r="B283" s="6"/>
      <c r="C283" s="6"/>
      <c r="D283" s="6"/>
      <c r="E283" s="6"/>
      <c r="F283" s="41"/>
      <c r="G283" s="6"/>
      <c r="H283" s="42"/>
      <c r="I283" s="42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.75" customHeight="1" x14ac:dyDescent="0.3">
      <c r="A284" s="41"/>
      <c r="B284" s="6"/>
      <c r="C284" s="6"/>
      <c r="D284" s="6"/>
      <c r="E284" s="6"/>
      <c r="F284" s="41"/>
      <c r="G284" s="6"/>
      <c r="H284" s="42"/>
      <c r="I284" s="42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.75" customHeight="1" x14ac:dyDescent="0.3">
      <c r="A285" s="41"/>
      <c r="B285" s="6"/>
      <c r="C285" s="6"/>
      <c r="D285" s="6"/>
      <c r="E285" s="6"/>
      <c r="F285" s="41"/>
      <c r="G285" s="6"/>
      <c r="H285" s="42"/>
      <c r="I285" s="42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.75" customHeight="1" x14ac:dyDescent="0.3">
      <c r="A286" s="41"/>
      <c r="B286" s="6"/>
      <c r="C286" s="6"/>
      <c r="D286" s="6"/>
      <c r="E286" s="6"/>
      <c r="F286" s="41"/>
      <c r="G286" s="6"/>
      <c r="H286" s="42"/>
      <c r="I286" s="42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.75" customHeight="1" x14ac:dyDescent="0.3">
      <c r="A287" s="41"/>
      <c r="B287" s="6"/>
      <c r="C287" s="6"/>
      <c r="D287" s="6"/>
      <c r="E287" s="6"/>
      <c r="F287" s="41"/>
      <c r="G287" s="6"/>
      <c r="H287" s="42"/>
      <c r="I287" s="42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.75" customHeight="1" x14ac:dyDescent="0.3">
      <c r="A288" s="41"/>
      <c r="B288" s="6"/>
      <c r="C288" s="6"/>
      <c r="D288" s="6"/>
      <c r="E288" s="6"/>
      <c r="F288" s="41"/>
      <c r="G288" s="6"/>
      <c r="H288" s="42"/>
      <c r="I288" s="42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.75" customHeight="1" x14ac:dyDescent="0.3">
      <c r="A289" s="41"/>
      <c r="B289" s="6"/>
      <c r="C289" s="6"/>
      <c r="D289" s="6"/>
      <c r="E289" s="6"/>
      <c r="F289" s="41"/>
      <c r="G289" s="6"/>
      <c r="H289" s="42"/>
      <c r="I289" s="42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.75" customHeight="1" x14ac:dyDescent="0.3">
      <c r="A290" s="41"/>
      <c r="B290" s="6"/>
      <c r="C290" s="6"/>
      <c r="D290" s="6"/>
      <c r="E290" s="6"/>
      <c r="F290" s="41"/>
      <c r="G290" s="6"/>
      <c r="H290" s="42"/>
      <c r="I290" s="42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.75" customHeight="1" x14ac:dyDescent="0.3">
      <c r="A291" s="41"/>
      <c r="B291" s="6"/>
      <c r="C291" s="6"/>
      <c r="D291" s="6"/>
      <c r="E291" s="6"/>
      <c r="F291" s="41"/>
      <c r="G291" s="6"/>
      <c r="H291" s="42"/>
      <c r="I291" s="42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.75" customHeight="1" x14ac:dyDescent="0.3">
      <c r="A292" s="41"/>
      <c r="B292" s="6"/>
      <c r="C292" s="6"/>
      <c r="D292" s="6"/>
      <c r="E292" s="6"/>
      <c r="F292" s="41"/>
      <c r="G292" s="6"/>
      <c r="H292" s="42"/>
      <c r="I292" s="42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.75" customHeight="1" x14ac:dyDescent="0.3">
      <c r="A293" s="41"/>
      <c r="B293" s="6"/>
      <c r="C293" s="6"/>
      <c r="D293" s="6"/>
      <c r="E293" s="6"/>
      <c r="F293" s="41"/>
      <c r="G293" s="6"/>
      <c r="H293" s="42"/>
      <c r="I293" s="42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.75" customHeight="1" x14ac:dyDescent="0.3">
      <c r="A294" s="41"/>
      <c r="B294" s="6"/>
      <c r="C294" s="6"/>
      <c r="D294" s="6"/>
      <c r="E294" s="6"/>
      <c r="F294" s="41"/>
      <c r="G294" s="6"/>
      <c r="H294" s="42"/>
      <c r="I294" s="42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.75" customHeight="1" x14ac:dyDescent="0.3">
      <c r="A295" s="41"/>
      <c r="B295" s="6"/>
      <c r="C295" s="6"/>
      <c r="D295" s="6"/>
      <c r="E295" s="6"/>
      <c r="F295" s="41"/>
      <c r="G295" s="6"/>
      <c r="H295" s="42"/>
      <c r="I295" s="42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.75" customHeight="1" x14ac:dyDescent="0.3">
      <c r="A296" s="41"/>
      <c r="B296" s="6"/>
      <c r="C296" s="6"/>
      <c r="D296" s="6"/>
      <c r="E296" s="6"/>
      <c r="F296" s="41"/>
      <c r="G296" s="6"/>
      <c r="H296" s="42"/>
      <c r="I296" s="42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75" customHeight="1" x14ac:dyDescent="0.3">
      <c r="A297" s="41"/>
      <c r="B297" s="6"/>
      <c r="C297" s="6"/>
      <c r="D297" s="6"/>
      <c r="E297" s="6"/>
      <c r="F297" s="41"/>
      <c r="G297" s="6"/>
      <c r="H297" s="42"/>
      <c r="I297" s="42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.75" customHeight="1" x14ac:dyDescent="0.3">
      <c r="A298" s="41"/>
      <c r="B298" s="6"/>
      <c r="C298" s="6"/>
      <c r="D298" s="6"/>
      <c r="E298" s="6"/>
      <c r="F298" s="41"/>
      <c r="G298" s="6"/>
      <c r="H298" s="42"/>
      <c r="I298" s="42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75" customHeight="1" x14ac:dyDescent="0.3">
      <c r="A299" s="41"/>
      <c r="B299" s="6"/>
      <c r="C299" s="6"/>
      <c r="D299" s="6"/>
      <c r="E299" s="6"/>
      <c r="F299" s="41"/>
      <c r="G299" s="6"/>
      <c r="H299" s="42"/>
      <c r="I299" s="42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75" customHeight="1" x14ac:dyDescent="0.3">
      <c r="A300" s="41"/>
      <c r="B300" s="6"/>
      <c r="C300" s="6"/>
      <c r="D300" s="6"/>
      <c r="E300" s="6"/>
      <c r="F300" s="41"/>
      <c r="G300" s="6"/>
      <c r="H300" s="42"/>
      <c r="I300" s="42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.75" customHeight="1" x14ac:dyDescent="0.3">
      <c r="A301" s="41"/>
      <c r="B301" s="6"/>
      <c r="C301" s="6"/>
      <c r="D301" s="6"/>
      <c r="E301" s="6"/>
      <c r="F301" s="41"/>
      <c r="G301" s="6"/>
      <c r="H301" s="42"/>
      <c r="I301" s="42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75" customHeight="1" x14ac:dyDescent="0.3">
      <c r="A302" s="41"/>
      <c r="B302" s="6"/>
      <c r="C302" s="6"/>
      <c r="D302" s="6"/>
      <c r="E302" s="6"/>
      <c r="F302" s="41"/>
      <c r="G302" s="6"/>
      <c r="H302" s="42"/>
      <c r="I302" s="42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.75" customHeight="1" x14ac:dyDescent="0.3">
      <c r="A303" s="41"/>
      <c r="B303" s="6"/>
      <c r="C303" s="6"/>
      <c r="D303" s="6"/>
      <c r="E303" s="6"/>
      <c r="F303" s="41"/>
      <c r="G303" s="6"/>
      <c r="H303" s="42"/>
      <c r="I303" s="42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75" customHeight="1" x14ac:dyDescent="0.3">
      <c r="A304" s="41"/>
      <c r="B304" s="6"/>
      <c r="C304" s="6"/>
      <c r="D304" s="6"/>
      <c r="E304" s="6"/>
      <c r="F304" s="41"/>
      <c r="G304" s="6"/>
      <c r="H304" s="42"/>
      <c r="I304" s="42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75" customHeight="1" x14ac:dyDescent="0.3">
      <c r="A305" s="41"/>
      <c r="B305" s="6"/>
      <c r="C305" s="6"/>
      <c r="D305" s="6"/>
      <c r="E305" s="6"/>
      <c r="F305" s="41"/>
      <c r="G305" s="6"/>
      <c r="H305" s="42"/>
      <c r="I305" s="42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.75" customHeight="1" x14ac:dyDescent="0.3">
      <c r="A306" s="41"/>
      <c r="B306" s="6"/>
      <c r="C306" s="6"/>
      <c r="D306" s="6"/>
      <c r="E306" s="6"/>
      <c r="F306" s="41"/>
      <c r="G306" s="6"/>
      <c r="H306" s="42"/>
      <c r="I306" s="42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.75" customHeight="1" x14ac:dyDescent="0.3">
      <c r="A307" s="41"/>
      <c r="B307" s="6"/>
      <c r="C307" s="6"/>
      <c r="D307" s="6"/>
      <c r="E307" s="6"/>
      <c r="F307" s="41"/>
      <c r="G307" s="6"/>
      <c r="H307" s="42"/>
      <c r="I307" s="42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.75" customHeight="1" x14ac:dyDescent="0.3">
      <c r="A308" s="41"/>
      <c r="B308" s="6"/>
      <c r="C308" s="6"/>
      <c r="D308" s="6"/>
      <c r="E308" s="6"/>
      <c r="F308" s="41"/>
      <c r="G308" s="6"/>
      <c r="H308" s="42"/>
      <c r="I308" s="42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75" customHeight="1" x14ac:dyDescent="0.3">
      <c r="A309" s="41"/>
      <c r="B309" s="6"/>
      <c r="C309" s="6"/>
      <c r="D309" s="6"/>
      <c r="E309" s="6"/>
      <c r="F309" s="41"/>
      <c r="G309" s="6"/>
      <c r="H309" s="42"/>
      <c r="I309" s="42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.75" customHeight="1" x14ac:dyDescent="0.3">
      <c r="A310" s="41"/>
      <c r="B310" s="6"/>
      <c r="C310" s="6"/>
      <c r="D310" s="6"/>
      <c r="E310" s="6"/>
      <c r="F310" s="41"/>
      <c r="G310" s="6"/>
      <c r="H310" s="42"/>
      <c r="I310" s="42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.75" customHeight="1" x14ac:dyDescent="0.3">
      <c r="A311" s="41"/>
      <c r="B311" s="6"/>
      <c r="C311" s="6"/>
      <c r="D311" s="6"/>
      <c r="E311" s="6"/>
      <c r="F311" s="41"/>
      <c r="G311" s="6"/>
      <c r="H311" s="42"/>
      <c r="I311" s="42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.75" customHeight="1" x14ac:dyDescent="0.3">
      <c r="A312" s="41"/>
      <c r="B312" s="6"/>
      <c r="C312" s="6"/>
      <c r="D312" s="6"/>
      <c r="E312" s="6"/>
      <c r="F312" s="41"/>
      <c r="G312" s="6"/>
      <c r="H312" s="42"/>
      <c r="I312" s="42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.75" customHeight="1" x14ac:dyDescent="0.3">
      <c r="A313" s="41"/>
      <c r="B313" s="6"/>
      <c r="C313" s="6"/>
      <c r="D313" s="6"/>
      <c r="E313" s="6"/>
      <c r="F313" s="41"/>
      <c r="G313" s="6"/>
      <c r="H313" s="42"/>
      <c r="I313" s="42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.75" customHeight="1" x14ac:dyDescent="0.3">
      <c r="A314" s="41"/>
      <c r="B314" s="6"/>
      <c r="C314" s="6"/>
      <c r="D314" s="6"/>
      <c r="E314" s="6"/>
      <c r="F314" s="41"/>
      <c r="G314" s="6"/>
      <c r="H314" s="42"/>
      <c r="I314" s="42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.75" customHeight="1" x14ac:dyDescent="0.3">
      <c r="A315" s="41"/>
      <c r="B315" s="6"/>
      <c r="C315" s="6"/>
      <c r="D315" s="6"/>
      <c r="E315" s="6"/>
      <c r="F315" s="41"/>
      <c r="G315" s="6"/>
      <c r="H315" s="42"/>
      <c r="I315" s="42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75" customHeight="1" x14ac:dyDescent="0.3">
      <c r="A316" s="41"/>
      <c r="B316" s="6"/>
      <c r="C316" s="6"/>
      <c r="D316" s="6"/>
      <c r="E316" s="6"/>
      <c r="F316" s="41"/>
      <c r="G316" s="6"/>
      <c r="H316" s="42"/>
      <c r="I316" s="42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.75" customHeight="1" x14ac:dyDescent="0.3">
      <c r="A317" s="41"/>
      <c r="B317" s="6"/>
      <c r="C317" s="6"/>
      <c r="D317" s="6"/>
      <c r="E317" s="6"/>
      <c r="F317" s="41"/>
      <c r="G317" s="6"/>
      <c r="H317" s="42"/>
      <c r="I317" s="42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.75" customHeight="1" x14ac:dyDescent="0.3">
      <c r="A318" s="41"/>
      <c r="B318" s="6"/>
      <c r="C318" s="6"/>
      <c r="D318" s="6"/>
      <c r="E318" s="6"/>
      <c r="F318" s="41"/>
      <c r="G318" s="6"/>
      <c r="H318" s="42"/>
      <c r="I318" s="42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.75" customHeight="1" x14ac:dyDescent="0.3">
      <c r="A319" s="41"/>
      <c r="B319" s="6"/>
      <c r="C319" s="6"/>
      <c r="D319" s="6"/>
      <c r="E319" s="6"/>
      <c r="F319" s="41"/>
      <c r="G319" s="6"/>
      <c r="H319" s="42"/>
      <c r="I319" s="42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.75" customHeight="1" x14ac:dyDescent="0.3">
      <c r="A320" s="41"/>
      <c r="B320" s="6"/>
      <c r="C320" s="6"/>
      <c r="D320" s="6"/>
      <c r="E320" s="6"/>
      <c r="F320" s="41"/>
      <c r="G320" s="6"/>
      <c r="H320" s="42"/>
      <c r="I320" s="42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.75" customHeight="1" x14ac:dyDescent="0.3">
      <c r="A321" s="41"/>
      <c r="B321" s="6"/>
      <c r="C321" s="6"/>
      <c r="D321" s="6"/>
      <c r="E321" s="6"/>
      <c r="F321" s="41"/>
      <c r="G321" s="6"/>
      <c r="H321" s="42"/>
      <c r="I321" s="42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.75" customHeight="1" x14ac:dyDescent="0.3">
      <c r="A322" s="41"/>
      <c r="B322" s="6"/>
      <c r="C322" s="6"/>
      <c r="D322" s="6"/>
      <c r="E322" s="6"/>
      <c r="F322" s="41"/>
      <c r="G322" s="6"/>
      <c r="H322" s="42"/>
      <c r="I322" s="42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.75" customHeight="1" x14ac:dyDescent="0.3">
      <c r="A323" s="41"/>
      <c r="B323" s="6"/>
      <c r="C323" s="6"/>
      <c r="D323" s="6"/>
      <c r="E323" s="6"/>
      <c r="F323" s="41"/>
      <c r="G323" s="6"/>
      <c r="H323" s="42"/>
      <c r="I323" s="42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.75" customHeight="1" x14ac:dyDescent="0.3">
      <c r="A324" s="41"/>
      <c r="B324" s="6"/>
      <c r="C324" s="6"/>
      <c r="D324" s="6"/>
      <c r="E324" s="6"/>
      <c r="F324" s="41"/>
      <c r="G324" s="6"/>
      <c r="H324" s="42"/>
      <c r="I324" s="42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.75" customHeight="1" x14ac:dyDescent="0.3">
      <c r="A325" s="41"/>
      <c r="B325" s="6"/>
      <c r="C325" s="6"/>
      <c r="D325" s="6"/>
      <c r="E325" s="6"/>
      <c r="F325" s="41"/>
      <c r="G325" s="6"/>
      <c r="H325" s="42"/>
      <c r="I325" s="42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.75" customHeight="1" x14ac:dyDescent="0.3">
      <c r="A326" s="41"/>
      <c r="B326" s="6"/>
      <c r="C326" s="6"/>
      <c r="D326" s="6"/>
      <c r="E326" s="6"/>
      <c r="F326" s="41"/>
      <c r="G326" s="6"/>
      <c r="H326" s="42"/>
      <c r="I326" s="42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.75" customHeight="1" x14ac:dyDescent="0.3">
      <c r="A327" s="41"/>
      <c r="B327" s="6"/>
      <c r="C327" s="6"/>
      <c r="D327" s="6"/>
      <c r="E327" s="6"/>
      <c r="F327" s="41"/>
      <c r="G327" s="6"/>
      <c r="H327" s="42"/>
      <c r="I327" s="42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.75" customHeight="1" x14ac:dyDescent="0.3">
      <c r="A328" s="41"/>
      <c r="B328" s="6"/>
      <c r="C328" s="6"/>
      <c r="D328" s="6"/>
      <c r="E328" s="6"/>
      <c r="F328" s="41"/>
      <c r="G328" s="6"/>
      <c r="H328" s="42"/>
      <c r="I328" s="42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.75" customHeight="1" x14ac:dyDescent="0.25"/>
    <row r="330" spans="1:28" ht="15.75" customHeight="1" x14ac:dyDescent="0.25"/>
    <row r="331" spans="1:28" ht="15.75" customHeight="1" x14ac:dyDescent="0.25"/>
    <row r="332" spans="1:28" ht="15.75" customHeight="1" x14ac:dyDescent="0.25"/>
    <row r="333" spans="1:28" ht="15.75" customHeight="1" x14ac:dyDescent="0.25"/>
    <row r="334" spans="1:28" ht="15.75" customHeight="1" x14ac:dyDescent="0.25"/>
    <row r="335" spans="1:28" ht="15.75" customHeight="1" x14ac:dyDescent="0.25"/>
    <row r="336" spans="1:2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D3:F3"/>
    <mergeCell ref="D4:F4"/>
  </mergeCells>
  <printOptions horizontalCentered="1"/>
  <pageMargins left="0.25" right="0.25" top="0.75" bottom="0.75" header="0" footer="0"/>
  <pageSetup pageOrder="overThenDown" orientation="portrait"/>
  <rowBreaks count="4" manualBreakCount="4">
    <brk id="101" man="1"/>
    <brk id="54" man="1"/>
    <brk id="77" man="1"/>
    <brk id="31" man="1"/>
  </rowBreaks>
  <colBreaks count="1" manualBreakCount="1"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5"/>
  <sheetViews>
    <sheetView workbookViewId="0"/>
  </sheetViews>
  <sheetFormatPr defaultColWidth="12.6640625" defaultRowHeight="15" customHeight="1" x14ac:dyDescent="0.25"/>
  <cols>
    <col min="1" max="1" width="16.21875" customWidth="1"/>
    <col min="2" max="2" width="16.21875" hidden="1" customWidth="1"/>
    <col min="4" max="5" width="12.6640625" hidden="1"/>
  </cols>
  <sheetData>
    <row r="1" spans="1:5" x14ac:dyDescent="0.25">
      <c r="A1" s="46" t="s">
        <v>383</v>
      </c>
      <c r="B1" s="19" t="s">
        <v>384</v>
      </c>
      <c r="C1" s="19" t="s">
        <v>385</v>
      </c>
      <c r="D1" s="19" t="s">
        <v>386</v>
      </c>
      <c r="E1" s="19" t="s">
        <v>383</v>
      </c>
    </row>
    <row r="2" spans="1:5" x14ac:dyDescent="0.25">
      <c r="A2" s="46">
        <v>10422002</v>
      </c>
      <c r="B2" s="19" t="s">
        <v>387</v>
      </c>
      <c r="C2" s="19">
        <v>7.25</v>
      </c>
      <c r="D2" s="19">
        <v>2</v>
      </c>
      <c r="E2" s="23">
        <f t="shared" ref="E2:E101" si="0">10422000+D2</f>
        <v>10422002</v>
      </c>
    </row>
    <row r="3" spans="1:5" x14ac:dyDescent="0.25">
      <c r="A3" s="46">
        <v>10422003</v>
      </c>
      <c r="B3" s="19" t="s">
        <v>388</v>
      </c>
      <c r="C3" s="19">
        <v>5.5</v>
      </c>
      <c r="D3" s="19">
        <v>3</v>
      </c>
      <c r="E3" s="23">
        <f t="shared" si="0"/>
        <v>10422003</v>
      </c>
    </row>
    <row r="4" spans="1:5" x14ac:dyDescent="0.25">
      <c r="A4" s="46">
        <v>10422004</v>
      </c>
      <c r="B4" s="19" t="s">
        <v>389</v>
      </c>
      <c r="C4" s="19">
        <v>9</v>
      </c>
      <c r="D4" s="19">
        <v>4</v>
      </c>
      <c r="E4" s="23">
        <f t="shared" si="0"/>
        <v>10422004</v>
      </c>
    </row>
    <row r="5" spans="1:5" x14ac:dyDescent="0.25">
      <c r="A5" s="46">
        <v>10422005</v>
      </c>
      <c r="B5" s="19" t="s">
        <v>390</v>
      </c>
      <c r="C5" s="19">
        <v>8</v>
      </c>
      <c r="D5" s="19">
        <v>5</v>
      </c>
      <c r="E5" s="23">
        <f t="shared" si="0"/>
        <v>10422005</v>
      </c>
    </row>
    <row r="6" spans="1:5" x14ac:dyDescent="0.25">
      <c r="A6" s="46">
        <v>10422006</v>
      </c>
      <c r="B6" s="19" t="s">
        <v>391</v>
      </c>
      <c r="C6" s="19">
        <v>4.75</v>
      </c>
      <c r="D6" s="19">
        <v>6</v>
      </c>
      <c r="E6" s="23">
        <f t="shared" si="0"/>
        <v>10422006</v>
      </c>
    </row>
    <row r="7" spans="1:5" x14ac:dyDescent="0.25">
      <c r="A7" s="46">
        <v>10422009</v>
      </c>
      <c r="B7" s="19" t="s">
        <v>392</v>
      </c>
      <c r="C7" s="19">
        <v>5.5</v>
      </c>
      <c r="D7" s="19">
        <v>9</v>
      </c>
      <c r="E7" s="23">
        <f t="shared" si="0"/>
        <v>10422009</v>
      </c>
    </row>
    <row r="8" spans="1:5" x14ac:dyDescent="0.25">
      <c r="A8" s="46">
        <v>10422011</v>
      </c>
      <c r="B8" s="19" t="s">
        <v>393</v>
      </c>
      <c r="C8" s="19">
        <v>6.5</v>
      </c>
      <c r="D8" s="19">
        <v>11</v>
      </c>
      <c r="E8" s="23">
        <f t="shared" si="0"/>
        <v>10422011</v>
      </c>
    </row>
    <row r="9" spans="1:5" x14ac:dyDescent="0.25">
      <c r="A9" s="46">
        <v>10422012</v>
      </c>
      <c r="B9" s="19" t="s">
        <v>394</v>
      </c>
      <c r="C9" s="19">
        <v>7.5</v>
      </c>
      <c r="D9" s="19">
        <v>12</v>
      </c>
      <c r="E9" s="23">
        <f t="shared" si="0"/>
        <v>10422012</v>
      </c>
    </row>
    <row r="10" spans="1:5" x14ac:dyDescent="0.25">
      <c r="A10" s="46">
        <v>10422013</v>
      </c>
      <c r="B10" s="19" t="s">
        <v>395</v>
      </c>
      <c r="C10" s="19">
        <v>7.75</v>
      </c>
      <c r="D10" s="19">
        <v>13</v>
      </c>
      <c r="E10" s="23">
        <f t="shared" si="0"/>
        <v>10422013</v>
      </c>
    </row>
    <row r="11" spans="1:5" x14ac:dyDescent="0.25">
      <c r="A11" s="46">
        <v>10422014</v>
      </c>
      <c r="B11" s="19" t="s">
        <v>396</v>
      </c>
      <c r="C11" s="19">
        <v>5.25</v>
      </c>
      <c r="D11" s="19">
        <v>14</v>
      </c>
      <c r="E11" s="23">
        <f t="shared" si="0"/>
        <v>10422014</v>
      </c>
    </row>
    <row r="12" spans="1:5" x14ac:dyDescent="0.25">
      <c r="A12" s="46">
        <v>10422015</v>
      </c>
      <c r="B12" s="19" t="s">
        <v>397</v>
      </c>
      <c r="C12" s="19">
        <v>7.25</v>
      </c>
      <c r="D12" s="19">
        <v>15</v>
      </c>
      <c r="E12" s="23">
        <f t="shared" si="0"/>
        <v>10422015</v>
      </c>
    </row>
    <row r="13" spans="1:5" x14ac:dyDescent="0.25">
      <c r="A13" s="46">
        <v>10422017</v>
      </c>
      <c r="B13" s="19" t="s">
        <v>398</v>
      </c>
      <c r="C13" s="19">
        <v>8.75</v>
      </c>
      <c r="D13" s="19">
        <v>17</v>
      </c>
      <c r="E13" s="23">
        <f t="shared" si="0"/>
        <v>10422017</v>
      </c>
    </row>
    <row r="14" spans="1:5" x14ac:dyDescent="0.25">
      <c r="A14" s="46">
        <v>10422018</v>
      </c>
      <c r="B14" s="19" t="s">
        <v>399</v>
      </c>
      <c r="C14" s="19">
        <v>7.75</v>
      </c>
      <c r="D14" s="19">
        <v>18</v>
      </c>
      <c r="E14" s="23">
        <f t="shared" si="0"/>
        <v>10422018</v>
      </c>
    </row>
    <row r="15" spans="1:5" x14ac:dyDescent="0.25">
      <c r="A15" s="46">
        <v>10422019</v>
      </c>
      <c r="B15" s="19" t="s">
        <v>400</v>
      </c>
      <c r="C15" s="19">
        <v>6.25</v>
      </c>
      <c r="D15" s="19">
        <v>19</v>
      </c>
      <c r="E15" s="23">
        <f t="shared" si="0"/>
        <v>10422019</v>
      </c>
    </row>
    <row r="16" spans="1:5" x14ac:dyDescent="0.25">
      <c r="A16" s="46">
        <v>10422020</v>
      </c>
      <c r="B16" s="19" t="s">
        <v>401</v>
      </c>
      <c r="C16" s="19">
        <v>6.75</v>
      </c>
      <c r="D16" s="19">
        <v>20</v>
      </c>
      <c r="E16" s="23">
        <f t="shared" si="0"/>
        <v>10422020</v>
      </c>
    </row>
    <row r="17" spans="1:5" x14ac:dyDescent="0.25">
      <c r="A17" s="46">
        <v>10422021</v>
      </c>
      <c r="B17" s="19" t="s">
        <v>402</v>
      </c>
      <c r="C17" s="19">
        <v>9.5</v>
      </c>
      <c r="D17" s="19">
        <v>21</v>
      </c>
      <c r="E17" s="23">
        <f t="shared" si="0"/>
        <v>10422021</v>
      </c>
    </row>
    <row r="18" spans="1:5" x14ac:dyDescent="0.25">
      <c r="A18" s="46">
        <v>10422022</v>
      </c>
      <c r="B18" s="19" t="s">
        <v>403</v>
      </c>
      <c r="C18" s="19">
        <v>7.75</v>
      </c>
      <c r="D18" s="19">
        <v>22</v>
      </c>
      <c r="E18" s="23">
        <f t="shared" si="0"/>
        <v>10422022</v>
      </c>
    </row>
    <row r="19" spans="1:5" x14ac:dyDescent="0.25">
      <c r="A19" s="46">
        <v>10422023</v>
      </c>
      <c r="B19" s="19" t="s">
        <v>404</v>
      </c>
      <c r="C19" s="19">
        <v>8</v>
      </c>
      <c r="D19" s="19">
        <v>23</v>
      </c>
      <c r="E19" s="23">
        <f t="shared" si="0"/>
        <v>10422023</v>
      </c>
    </row>
    <row r="20" spans="1:5" x14ac:dyDescent="0.25">
      <c r="A20" s="46">
        <v>10422024</v>
      </c>
      <c r="B20" s="19" t="s">
        <v>405</v>
      </c>
      <c r="C20" s="19">
        <v>8.5</v>
      </c>
      <c r="D20" s="19">
        <v>24</v>
      </c>
      <c r="E20" s="23">
        <f t="shared" si="0"/>
        <v>10422024</v>
      </c>
    </row>
    <row r="21" spans="1:5" x14ac:dyDescent="0.25">
      <c r="A21" s="46">
        <v>10422025</v>
      </c>
      <c r="B21" s="19" t="s">
        <v>406</v>
      </c>
      <c r="C21" s="19">
        <v>7.75</v>
      </c>
      <c r="D21" s="19">
        <v>25</v>
      </c>
      <c r="E21" s="23">
        <f t="shared" si="0"/>
        <v>10422025</v>
      </c>
    </row>
    <row r="22" spans="1:5" x14ac:dyDescent="0.25">
      <c r="A22" s="46">
        <v>10422026</v>
      </c>
      <c r="B22" s="19" t="s">
        <v>407</v>
      </c>
      <c r="C22" s="19">
        <v>4.75</v>
      </c>
      <c r="D22" s="19">
        <v>26</v>
      </c>
      <c r="E22" s="23">
        <f t="shared" si="0"/>
        <v>10422026</v>
      </c>
    </row>
    <row r="23" spans="1:5" x14ac:dyDescent="0.25">
      <c r="A23" s="46">
        <v>10422027</v>
      </c>
      <c r="B23" s="19" t="s">
        <v>408</v>
      </c>
      <c r="C23" s="19">
        <v>7.5</v>
      </c>
      <c r="D23" s="19">
        <v>27</v>
      </c>
      <c r="E23" s="23">
        <f t="shared" si="0"/>
        <v>10422027</v>
      </c>
    </row>
    <row r="24" spans="1:5" x14ac:dyDescent="0.25">
      <c r="A24" s="46">
        <v>10422029</v>
      </c>
      <c r="B24" s="19" t="s">
        <v>409</v>
      </c>
      <c r="C24" s="19">
        <v>5.75</v>
      </c>
      <c r="D24" s="19">
        <v>29</v>
      </c>
      <c r="E24" s="23">
        <f t="shared" si="0"/>
        <v>10422029</v>
      </c>
    </row>
    <row r="25" spans="1:5" x14ac:dyDescent="0.25">
      <c r="A25" s="46">
        <v>10422031</v>
      </c>
      <c r="B25" s="19" t="s">
        <v>410</v>
      </c>
      <c r="C25" s="19">
        <v>5.75</v>
      </c>
      <c r="D25" s="19">
        <v>31</v>
      </c>
      <c r="E25" s="23">
        <f t="shared" si="0"/>
        <v>10422031</v>
      </c>
    </row>
    <row r="26" spans="1:5" x14ac:dyDescent="0.25">
      <c r="A26" s="46">
        <v>10422032</v>
      </c>
      <c r="B26" s="19" t="s">
        <v>411</v>
      </c>
      <c r="C26" s="19">
        <v>5</v>
      </c>
      <c r="D26" s="19">
        <v>32</v>
      </c>
      <c r="E26" s="23">
        <f t="shared" si="0"/>
        <v>10422032</v>
      </c>
    </row>
    <row r="27" spans="1:5" x14ac:dyDescent="0.25">
      <c r="A27" s="46">
        <v>10422033</v>
      </c>
      <c r="B27" s="19" t="s">
        <v>412</v>
      </c>
      <c r="C27" s="19">
        <v>7</v>
      </c>
      <c r="D27" s="19">
        <v>33</v>
      </c>
      <c r="E27" s="23">
        <f t="shared" si="0"/>
        <v>10422033</v>
      </c>
    </row>
    <row r="28" spans="1:5" x14ac:dyDescent="0.25">
      <c r="A28" s="46">
        <v>10422035</v>
      </c>
      <c r="B28" s="19" t="s">
        <v>413</v>
      </c>
      <c r="C28" s="19">
        <v>7.5</v>
      </c>
      <c r="D28" s="19">
        <v>35</v>
      </c>
      <c r="E28" s="23">
        <f t="shared" si="0"/>
        <v>10422035</v>
      </c>
    </row>
    <row r="29" spans="1:5" x14ac:dyDescent="0.25">
      <c r="A29" s="46">
        <v>10422036</v>
      </c>
      <c r="B29" s="19" t="s">
        <v>414</v>
      </c>
      <c r="C29" s="19">
        <v>6</v>
      </c>
      <c r="D29" s="19">
        <v>36</v>
      </c>
      <c r="E29" s="23">
        <f t="shared" si="0"/>
        <v>10422036</v>
      </c>
    </row>
    <row r="30" spans="1:5" x14ac:dyDescent="0.25">
      <c r="A30" s="46">
        <v>10422037</v>
      </c>
      <c r="B30" s="19" t="s">
        <v>415</v>
      </c>
      <c r="C30" s="19">
        <v>5.75</v>
      </c>
      <c r="D30" s="19">
        <v>37</v>
      </c>
      <c r="E30" s="23">
        <f t="shared" si="0"/>
        <v>10422037</v>
      </c>
    </row>
    <row r="31" spans="1:5" x14ac:dyDescent="0.25">
      <c r="A31" s="46">
        <v>10422039</v>
      </c>
      <c r="B31" s="19" t="s">
        <v>416</v>
      </c>
      <c r="C31" s="19">
        <v>7.25</v>
      </c>
      <c r="D31" s="19">
        <v>39</v>
      </c>
      <c r="E31" s="23">
        <f t="shared" si="0"/>
        <v>10422039</v>
      </c>
    </row>
    <row r="32" spans="1:5" x14ac:dyDescent="0.25">
      <c r="A32" s="46">
        <v>10422040</v>
      </c>
      <c r="B32" s="19" t="s">
        <v>417</v>
      </c>
      <c r="C32" s="19">
        <v>7</v>
      </c>
      <c r="D32" s="19">
        <v>40</v>
      </c>
      <c r="E32" s="23">
        <f t="shared" si="0"/>
        <v>10422040</v>
      </c>
    </row>
    <row r="33" spans="1:5" x14ac:dyDescent="0.25">
      <c r="A33" s="46">
        <v>10422041</v>
      </c>
      <c r="B33" s="19" t="s">
        <v>418</v>
      </c>
      <c r="C33" s="19">
        <v>6.5</v>
      </c>
      <c r="D33" s="19">
        <v>41</v>
      </c>
      <c r="E33" s="23">
        <f t="shared" si="0"/>
        <v>10422041</v>
      </c>
    </row>
    <row r="34" spans="1:5" x14ac:dyDescent="0.25">
      <c r="A34" s="46">
        <v>10422042</v>
      </c>
      <c r="B34" s="19" t="s">
        <v>419</v>
      </c>
      <c r="C34" s="19">
        <v>7</v>
      </c>
      <c r="D34" s="19">
        <v>42</v>
      </c>
      <c r="E34" s="23">
        <f t="shared" si="0"/>
        <v>10422042</v>
      </c>
    </row>
    <row r="35" spans="1:5" x14ac:dyDescent="0.25">
      <c r="A35" s="46">
        <v>10422043</v>
      </c>
      <c r="B35" s="19" t="s">
        <v>420</v>
      </c>
      <c r="C35" s="19">
        <v>6</v>
      </c>
      <c r="D35" s="19">
        <v>43</v>
      </c>
      <c r="E35" s="23">
        <f t="shared" si="0"/>
        <v>10422043</v>
      </c>
    </row>
    <row r="36" spans="1:5" x14ac:dyDescent="0.25">
      <c r="A36" s="46">
        <v>10422044</v>
      </c>
      <c r="B36" s="19" t="s">
        <v>421</v>
      </c>
      <c r="C36" s="19">
        <v>7</v>
      </c>
      <c r="D36" s="19">
        <v>44</v>
      </c>
      <c r="E36" s="23">
        <f t="shared" si="0"/>
        <v>10422044</v>
      </c>
    </row>
    <row r="37" spans="1:5" x14ac:dyDescent="0.25">
      <c r="A37" s="46">
        <v>10422045</v>
      </c>
      <c r="B37" s="19" t="s">
        <v>422</v>
      </c>
      <c r="C37" s="19">
        <v>7.25</v>
      </c>
      <c r="D37" s="19">
        <v>45</v>
      </c>
      <c r="E37" s="23">
        <f t="shared" si="0"/>
        <v>10422045</v>
      </c>
    </row>
    <row r="38" spans="1:5" x14ac:dyDescent="0.25">
      <c r="A38" s="46">
        <v>10422047</v>
      </c>
      <c r="B38" s="19" t="s">
        <v>423</v>
      </c>
      <c r="C38" s="19">
        <v>6.75</v>
      </c>
      <c r="D38" s="19">
        <v>47</v>
      </c>
      <c r="E38" s="23">
        <f t="shared" si="0"/>
        <v>10422047</v>
      </c>
    </row>
    <row r="39" spans="1:5" x14ac:dyDescent="0.25">
      <c r="A39" s="19">
        <v>10422046</v>
      </c>
      <c r="B39" s="19" t="s">
        <v>424</v>
      </c>
      <c r="C39" s="19">
        <v>5.75</v>
      </c>
      <c r="D39" s="19">
        <v>46</v>
      </c>
      <c r="E39" s="23">
        <f t="shared" si="0"/>
        <v>10422046</v>
      </c>
    </row>
    <row r="40" spans="1:5" x14ac:dyDescent="0.25">
      <c r="A40" s="46">
        <v>10422049</v>
      </c>
      <c r="B40" s="19" t="s">
        <v>425</v>
      </c>
      <c r="C40" s="19">
        <v>8.75</v>
      </c>
      <c r="D40" s="19">
        <v>49</v>
      </c>
      <c r="E40" s="23">
        <f t="shared" si="0"/>
        <v>10422049</v>
      </c>
    </row>
    <row r="41" spans="1:5" x14ac:dyDescent="0.25">
      <c r="A41" s="46">
        <v>10422050</v>
      </c>
      <c r="B41" s="19" t="s">
        <v>426</v>
      </c>
      <c r="C41" s="19">
        <v>9</v>
      </c>
      <c r="D41" s="19">
        <v>50</v>
      </c>
      <c r="E41" s="23">
        <f t="shared" si="0"/>
        <v>10422050</v>
      </c>
    </row>
    <row r="42" spans="1:5" x14ac:dyDescent="0.25">
      <c r="A42" s="46">
        <v>10422051</v>
      </c>
      <c r="B42" s="19" t="s">
        <v>427</v>
      </c>
      <c r="C42" s="19">
        <v>9</v>
      </c>
      <c r="D42" s="19">
        <v>51</v>
      </c>
      <c r="E42" s="23">
        <f t="shared" si="0"/>
        <v>10422051</v>
      </c>
    </row>
    <row r="43" spans="1:5" x14ac:dyDescent="0.25">
      <c r="A43" s="46">
        <v>10422052</v>
      </c>
      <c r="B43" s="19" t="s">
        <v>428</v>
      </c>
      <c r="C43" s="19">
        <v>8.5</v>
      </c>
      <c r="D43" s="19">
        <v>52</v>
      </c>
      <c r="E43" s="23">
        <f t="shared" si="0"/>
        <v>10422052</v>
      </c>
    </row>
    <row r="44" spans="1:5" x14ac:dyDescent="0.25">
      <c r="A44" s="46">
        <v>10422053</v>
      </c>
      <c r="B44" s="19" t="s">
        <v>429</v>
      </c>
      <c r="C44" s="19">
        <v>8</v>
      </c>
      <c r="D44" s="19">
        <v>53</v>
      </c>
      <c r="E44" s="23">
        <f t="shared" si="0"/>
        <v>10422053</v>
      </c>
    </row>
    <row r="45" spans="1:5" x14ac:dyDescent="0.25">
      <c r="A45" s="46">
        <v>10422054</v>
      </c>
      <c r="B45" s="19" t="s">
        <v>430</v>
      </c>
      <c r="C45" s="19">
        <v>4.75</v>
      </c>
      <c r="D45" s="19">
        <v>54</v>
      </c>
      <c r="E45" s="23">
        <f t="shared" si="0"/>
        <v>10422054</v>
      </c>
    </row>
    <row r="46" spans="1:5" x14ac:dyDescent="0.25">
      <c r="A46" s="46">
        <v>10422055</v>
      </c>
      <c r="B46" s="19" t="s">
        <v>431</v>
      </c>
      <c r="C46" s="19">
        <v>6.25</v>
      </c>
      <c r="D46" s="19">
        <v>55</v>
      </c>
      <c r="E46" s="23">
        <f t="shared" si="0"/>
        <v>10422055</v>
      </c>
    </row>
    <row r="47" spans="1:5" x14ac:dyDescent="0.25">
      <c r="A47" s="46">
        <v>10422056</v>
      </c>
      <c r="B47" s="19" t="s">
        <v>432</v>
      </c>
      <c r="C47" s="19">
        <v>5.75</v>
      </c>
      <c r="D47" s="19">
        <v>56</v>
      </c>
      <c r="E47" s="23">
        <f t="shared" si="0"/>
        <v>10422056</v>
      </c>
    </row>
    <row r="48" spans="1:5" x14ac:dyDescent="0.25">
      <c r="A48" s="46">
        <v>10422057</v>
      </c>
      <c r="B48" s="19" t="s">
        <v>433</v>
      </c>
      <c r="C48" s="19">
        <v>4.5</v>
      </c>
      <c r="D48" s="19">
        <v>57</v>
      </c>
      <c r="E48" s="23">
        <f t="shared" si="0"/>
        <v>10422057</v>
      </c>
    </row>
    <row r="49" spans="1:5" x14ac:dyDescent="0.25">
      <c r="A49" s="46">
        <v>10422058</v>
      </c>
      <c r="B49" s="19" t="s">
        <v>434</v>
      </c>
      <c r="C49" s="19">
        <v>9</v>
      </c>
      <c r="D49" s="19">
        <v>58</v>
      </c>
      <c r="E49" s="23">
        <f t="shared" si="0"/>
        <v>10422058</v>
      </c>
    </row>
    <row r="50" spans="1:5" x14ac:dyDescent="0.25">
      <c r="A50" s="46">
        <v>10422059</v>
      </c>
      <c r="B50" s="19" t="s">
        <v>435</v>
      </c>
      <c r="C50" s="19">
        <v>6.75</v>
      </c>
      <c r="D50" s="19">
        <v>59</v>
      </c>
      <c r="E50" s="23">
        <f t="shared" si="0"/>
        <v>10422059</v>
      </c>
    </row>
    <row r="51" spans="1:5" x14ac:dyDescent="0.25">
      <c r="A51" s="46">
        <v>10422060</v>
      </c>
      <c r="B51" s="19" t="s">
        <v>436</v>
      </c>
      <c r="C51" s="19">
        <v>8.25</v>
      </c>
      <c r="D51" s="19">
        <v>60</v>
      </c>
      <c r="E51" s="23">
        <f t="shared" si="0"/>
        <v>10422060</v>
      </c>
    </row>
    <row r="52" spans="1:5" x14ac:dyDescent="0.25">
      <c r="A52" s="46">
        <v>10422061</v>
      </c>
      <c r="B52" s="19" t="s">
        <v>437</v>
      </c>
      <c r="C52" s="19">
        <v>7</v>
      </c>
      <c r="D52" s="19">
        <v>61</v>
      </c>
      <c r="E52" s="23">
        <f t="shared" si="0"/>
        <v>10422061</v>
      </c>
    </row>
    <row r="53" spans="1:5" x14ac:dyDescent="0.25">
      <c r="A53" s="46">
        <v>10422062</v>
      </c>
      <c r="B53" s="19" t="s">
        <v>438</v>
      </c>
      <c r="C53" s="19">
        <v>8.5</v>
      </c>
      <c r="D53" s="19">
        <v>62</v>
      </c>
      <c r="E53" s="23">
        <f t="shared" si="0"/>
        <v>10422062</v>
      </c>
    </row>
    <row r="54" spans="1:5" x14ac:dyDescent="0.25">
      <c r="A54" s="46">
        <v>10422063</v>
      </c>
      <c r="B54" s="19" t="s">
        <v>439</v>
      </c>
      <c r="C54" s="19">
        <v>7.75</v>
      </c>
      <c r="D54" s="19">
        <v>63</v>
      </c>
      <c r="E54" s="23">
        <f t="shared" si="0"/>
        <v>10422063</v>
      </c>
    </row>
    <row r="55" spans="1:5" x14ac:dyDescent="0.25">
      <c r="A55" s="46">
        <v>10422064</v>
      </c>
      <c r="B55" s="19" t="s">
        <v>440</v>
      </c>
      <c r="C55" s="19">
        <v>5.25</v>
      </c>
      <c r="D55" s="19">
        <v>64</v>
      </c>
      <c r="E55" s="23">
        <f t="shared" si="0"/>
        <v>10422064</v>
      </c>
    </row>
    <row r="56" spans="1:5" x14ac:dyDescent="0.25">
      <c r="A56" s="46">
        <v>10422065</v>
      </c>
      <c r="B56" s="19" t="s">
        <v>441</v>
      </c>
      <c r="C56" s="19">
        <v>6.75</v>
      </c>
      <c r="D56" s="19">
        <v>65</v>
      </c>
      <c r="E56" s="23">
        <f t="shared" si="0"/>
        <v>10422065</v>
      </c>
    </row>
    <row r="57" spans="1:5" x14ac:dyDescent="0.25">
      <c r="A57" s="46">
        <v>10422066</v>
      </c>
      <c r="B57" s="19" t="s">
        <v>442</v>
      </c>
      <c r="C57" s="19">
        <v>5.25</v>
      </c>
      <c r="D57" s="19">
        <v>66</v>
      </c>
      <c r="E57" s="23">
        <f t="shared" si="0"/>
        <v>10422066</v>
      </c>
    </row>
    <row r="58" spans="1:5" x14ac:dyDescent="0.25">
      <c r="A58" s="46">
        <v>10422067</v>
      </c>
      <c r="B58" s="19" t="s">
        <v>443</v>
      </c>
      <c r="C58" s="19">
        <v>7.25</v>
      </c>
      <c r="D58" s="19">
        <v>67</v>
      </c>
      <c r="E58" s="23">
        <f t="shared" si="0"/>
        <v>10422067</v>
      </c>
    </row>
    <row r="59" spans="1:5" x14ac:dyDescent="0.25">
      <c r="A59" s="46">
        <v>10422070</v>
      </c>
      <c r="B59" s="19" t="s">
        <v>444</v>
      </c>
      <c r="C59" s="19">
        <v>5</v>
      </c>
      <c r="D59" s="19">
        <v>70</v>
      </c>
      <c r="E59" s="23">
        <f t="shared" si="0"/>
        <v>10422070</v>
      </c>
    </row>
    <row r="60" spans="1:5" x14ac:dyDescent="0.25">
      <c r="A60" s="46">
        <v>10422071</v>
      </c>
      <c r="B60" s="19" t="s">
        <v>445</v>
      </c>
      <c r="C60" s="19">
        <v>6.5</v>
      </c>
      <c r="D60" s="19">
        <v>71</v>
      </c>
      <c r="E60" s="23">
        <f t="shared" si="0"/>
        <v>10422071</v>
      </c>
    </row>
    <row r="61" spans="1:5" x14ac:dyDescent="0.25">
      <c r="A61" s="46">
        <v>10422072</v>
      </c>
      <c r="B61" s="19" t="s">
        <v>446</v>
      </c>
      <c r="C61" s="19">
        <v>6.25</v>
      </c>
      <c r="D61" s="19">
        <v>72</v>
      </c>
      <c r="E61" s="23">
        <f t="shared" si="0"/>
        <v>10422072</v>
      </c>
    </row>
    <row r="62" spans="1:5" x14ac:dyDescent="0.25">
      <c r="A62" s="46">
        <v>10422074</v>
      </c>
      <c r="B62" s="19" t="s">
        <v>447</v>
      </c>
      <c r="C62" s="19">
        <v>7.25</v>
      </c>
      <c r="D62" s="19">
        <v>74</v>
      </c>
      <c r="E62" s="23">
        <f t="shared" si="0"/>
        <v>10422074</v>
      </c>
    </row>
    <row r="63" spans="1:5" x14ac:dyDescent="0.25">
      <c r="A63" s="46">
        <v>10422075</v>
      </c>
      <c r="B63" s="19" t="s">
        <v>448</v>
      </c>
      <c r="C63" s="19">
        <v>8.75</v>
      </c>
      <c r="D63" s="19">
        <v>75</v>
      </c>
      <c r="E63" s="23">
        <f t="shared" si="0"/>
        <v>10422075</v>
      </c>
    </row>
    <row r="64" spans="1:5" x14ac:dyDescent="0.25">
      <c r="A64" s="46">
        <v>10422078</v>
      </c>
      <c r="B64" s="19" t="s">
        <v>449</v>
      </c>
      <c r="C64" s="19">
        <v>9.25</v>
      </c>
      <c r="D64" s="19">
        <v>78</v>
      </c>
      <c r="E64" s="23">
        <f t="shared" si="0"/>
        <v>10422078</v>
      </c>
    </row>
    <row r="65" spans="1:5" x14ac:dyDescent="0.25">
      <c r="A65" s="46">
        <v>10422079</v>
      </c>
      <c r="B65" s="19" t="s">
        <v>450</v>
      </c>
      <c r="C65" s="19">
        <v>5.5</v>
      </c>
      <c r="D65" s="19">
        <v>79</v>
      </c>
      <c r="E65" s="23">
        <f t="shared" si="0"/>
        <v>10422079</v>
      </c>
    </row>
    <row r="66" spans="1:5" x14ac:dyDescent="0.25">
      <c r="A66" s="46">
        <v>10422080</v>
      </c>
      <c r="B66" s="19" t="s">
        <v>451</v>
      </c>
      <c r="C66" s="19">
        <v>6.75</v>
      </c>
      <c r="D66" s="19">
        <v>80</v>
      </c>
      <c r="E66" s="23">
        <f t="shared" si="0"/>
        <v>10422080</v>
      </c>
    </row>
    <row r="67" spans="1:5" x14ac:dyDescent="0.25">
      <c r="A67" s="46">
        <v>10422081</v>
      </c>
      <c r="B67" s="19" t="s">
        <v>452</v>
      </c>
      <c r="C67" s="19">
        <v>8.75</v>
      </c>
      <c r="D67" s="19">
        <v>81</v>
      </c>
      <c r="E67" s="23">
        <f t="shared" si="0"/>
        <v>10422081</v>
      </c>
    </row>
    <row r="68" spans="1:5" x14ac:dyDescent="0.25">
      <c r="A68" s="46">
        <v>10422082</v>
      </c>
      <c r="B68" s="19" t="s">
        <v>453</v>
      </c>
      <c r="C68" s="19">
        <v>6.5</v>
      </c>
      <c r="D68" s="19">
        <v>82</v>
      </c>
      <c r="E68" s="23">
        <f t="shared" si="0"/>
        <v>10422082</v>
      </c>
    </row>
    <row r="69" spans="1:5" x14ac:dyDescent="0.25">
      <c r="A69" s="46">
        <v>10422083</v>
      </c>
      <c r="B69" s="19" t="s">
        <v>454</v>
      </c>
      <c r="C69" s="19">
        <v>6</v>
      </c>
      <c r="D69" s="19">
        <v>83</v>
      </c>
      <c r="E69" s="23">
        <f t="shared" si="0"/>
        <v>10422083</v>
      </c>
    </row>
    <row r="70" spans="1:5" x14ac:dyDescent="0.25">
      <c r="A70" s="46">
        <v>10422084</v>
      </c>
      <c r="B70" s="19" t="s">
        <v>455</v>
      </c>
      <c r="C70" s="19">
        <v>6.75</v>
      </c>
      <c r="D70" s="19">
        <v>84</v>
      </c>
      <c r="E70" s="23">
        <f t="shared" si="0"/>
        <v>10422084</v>
      </c>
    </row>
    <row r="71" spans="1:5" x14ac:dyDescent="0.25">
      <c r="A71" s="46">
        <v>10422085</v>
      </c>
      <c r="B71" s="19" t="s">
        <v>456</v>
      </c>
      <c r="C71" s="19">
        <v>9</v>
      </c>
      <c r="D71" s="19">
        <v>85</v>
      </c>
      <c r="E71" s="23">
        <f t="shared" si="0"/>
        <v>10422085</v>
      </c>
    </row>
    <row r="72" spans="1:5" x14ac:dyDescent="0.25">
      <c r="A72" s="46">
        <v>10422086</v>
      </c>
      <c r="B72" s="19" t="s">
        <v>457</v>
      </c>
      <c r="C72" s="19">
        <v>7.75</v>
      </c>
      <c r="D72" s="19">
        <v>86</v>
      </c>
      <c r="E72" s="23">
        <f t="shared" si="0"/>
        <v>10422086</v>
      </c>
    </row>
    <row r="73" spans="1:5" x14ac:dyDescent="0.25">
      <c r="A73" s="46">
        <v>10422087</v>
      </c>
      <c r="B73" s="19" t="s">
        <v>458</v>
      </c>
      <c r="C73" s="19">
        <v>6.75</v>
      </c>
      <c r="D73" s="19">
        <v>87</v>
      </c>
      <c r="E73" s="23">
        <f t="shared" si="0"/>
        <v>10422087</v>
      </c>
    </row>
    <row r="74" spans="1:5" x14ac:dyDescent="0.25">
      <c r="A74" s="46">
        <v>10422089</v>
      </c>
      <c r="B74" s="19" t="s">
        <v>459</v>
      </c>
      <c r="C74" s="19">
        <v>7</v>
      </c>
      <c r="D74" s="19">
        <v>89</v>
      </c>
      <c r="E74" s="23">
        <f t="shared" si="0"/>
        <v>10422089</v>
      </c>
    </row>
    <row r="75" spans="1:5" x14ac:dyDescent="0.25">
      <c r="A75" s="46">
        <v>10422091</v>
      </c>
      <c r="B75" s="19" t="s">
        <v>460</v>
      </c>
      <c r="C75" s="19">
        <v>8</v>
      </c>
      <c r="D75" s="19">
        <v>91</v>
      </c>
      <c r="E75" s="23">
        <f t="shared" si="0"/>
        <v>10422091</v>
      </c>
    </row>
    <row r="76" spans="1:5" x14ac:dyDescent="0.25">
      <c r="A76" s="46">
        <v>10422092</v>
      </c>
      <c r="B76" s="19" t="s">
        <v>461</v>
      </c>
      <c r="C76" s="19">
        <v>7.5</v>
      </c>
      <c r="D76" s="19">
        <v>92</v>
      </c>
      <c r="E76" s="23">
        <f t="shared" si="0"/>
        <v>10422092</v>
      </c>
    </row>
    <row r="77" spans="1:5" x14ac:dyDescent="0.25">
      <c r="A77" s="46">
        <v>10422093</v>
      </c>
      <c r="B77" s="19" t="s">
        <v>462</v>
      </c>
      <c r="C77" s="19">
        <v>5</v>
      </c>
      <c r="D77" s="19">
        <v>93</v>
      </c>
      <c r="E77" s="23">
        <f t="shared" si="0"/>
        <v>10422093</v>
      </c>
    </row>
    <row r="78" spans="1:5" x14ac:dyDescent="0.25">
      <c r="A78" s="46">
        <v>10422094</v>
      </c>
      <c r="B78" s="19" t="s">
        <v>463</v>
      </c>
      <c r="C78" s="19">
        <v>5.5</v>
      </c>
      <c r="D78" s="19">
        <v>94</v>
      </c>
      <c r="E78" s="23">
        <f t="shared" si="0"/>
        <v>10422094</v>
      </c>
    </row>
    <row r="79" spans="1:5" x14ac:dyDescent="0.25">
      <c r="A79" s="46">
        <v>10422095</v>
      </c>
      <c r="B79" s="19" t="s">
        <v>464</v>
      </c>
      <c r="C79" s="19">
        <v>4.75</v>
      </c>
      <c r="D79" s="19">
        <v>95</v>
      </c>
      <c r="E79" s="23">
        <f t="shared" si="0"/>
        <v>10422095</v>
      </c>
    </row>
    <row r="80" spans="1:5" x14ac:dyDescent="0.25">
      <c r="A80" s="46">
        <v>10422097</v>
      </c>
      <c r="B80" s="19" t="s">
        <v>465</v>
      </c>
      <c r="C80" s="19">
        <v>7</v>
      </c>
      <c r="D80" s="19">
        <v>97</v>
      </c>
      <c r="E80" s="23">
        <f t="shared" si="0"/>
        <v>10422097</v>
      </c>
    </row>
    <row r="81" spans="1:5" x14ac:dyDescent="0.25">
      <c r="A81" s="46">
        <v>10422098</v>
      </c>
      <c r="B81" s="19" t="s">
        <v>466</v>
      </c>
      <c r="C81" s="19">
        <v>5.5</v>
      </c>
      <c r="D81" s="19">
        <v>98</v>
      </c>
      <c r="E81" s="23">
        <f t="shared" si="0"/>
        <v>10422098</v>
      </c>
    </row>
    <row r="82" spans="1:5" x14ac:dyDescent="0.25">
      <c r="A82" s="46">
        <v>10422100</v>
      </c>
      <c r="B82" s="19" t="s">
        <v>467</v>
      </c>
      <c r="C82" s="19">
        <v>5</v>
      </c>
      <c r="D82" s="19">
        <v>100</v>
      </c>
      <c r="E82" s="23">
        <f t="shared" si="0"/>
        <v>10422100</v>
      </c>
    </row>
    <row r="83" spans="1:5" x14ac:dyDescent="0.25">
      <c r="A83" s="46">
        <v>10422101</v>
      </c>
      <c r="B83" s="19" t="s">
        <v>468</v>
      </c>
      <c r="C83" s="19">
        <v>7.25</v>
      </c>
      <c r="D83" s="19">
        <v>101</v>
      </c>
      <c r="E83" s="23">
        <f t="shared" si="0"/>
        <v>10422101</v>
      </c>
    </row>
    <row r="84" spans="1:5" x14ac:dyDescent="0.25">
      <c r="A84" s="46">
        <v>10422103</v>
      </c>
      <c r="B84" s="19" t="s">
        <v>469</v>
      </c>
      <c r="C84" s="19">
        <v>5.25</v>
      </c>
      <c r="D84" s="19">
        <v>103</v>
      </c>
      <c r="E84" s="23">
        <f t="shared" si="0"/>
        <v>10422103</v>
      </c>
    </row>
    <row r="85" spans="1:5" x14ac:dyDescent="0.25">
      <c r="A85" s="46">
        <v>10422105</v>
      </c>
      <c r="B85" s="19" t="s">
        <v>470</v>
      </c>
      <c r="C85" s="19">
        <v>7</v>
      </c>
      <c r="D85" s="19">
        <v>105</v>
      </c>
      <c r="E85" s="23">
        <f t="shared" si="0"/>
        <v>10422105</v>
      </c>
    </row>
    <row r="86" spans="1:5" x14ac:dyDescent="0.25">
      <c r="A86" s="46">
        <v>10422106</v>
      </c>
      <c r="B86" s="19" t="s">
        <v>471</v>
      </c>
      <c r="C86" s="19">
        <v>5.5</v>
      </c>
      <c r="D86" s="19">
        <v>106</v>
      </c>
      <c r="E86" s="23">
        <f t="shared" si="0"/>
        <v>10422106</v>
      </c>
    </row>
    <row r="87" spans="1:5" x14ac:dyDescent="0.25">
      <c r="A87" s="46">
        <v>10422108</v>
      </c>
      <c r="B87" s="19" t="s">
        <v>472</v>
      </c>
      <c r="C87" s="19">
        <v>7.75</v>
      </c>
      <c r="D87" s="19">
        <v>108</v>
      </c>
      <c r="E87" s="23">
        <f t="shared" si="0"/>
        <v>10422108</v>
      </c>
    </row>
    <row r="88" spans="1:5" x14ac:dyDescent="0.25">
      <c r="A88" s="46">
        <v>10422109</v>
      </c>
      <c r="B88" s="19" t="s">
        <v>473</v>
      </c>
      <c r="C88" s="19">
        <v>6.25</v>
      </c>
      <c r="D88" s="19">
        <v>109</v>
      </c>
      <c r="E88" s="23">
        <f t="shared" si="0"/>
        <v>10422109</v>
      </c>
    </row>
    <row r="89" spans="1:5" x14ac:dyDescent="0.25">
      <c r="A89" s="46">
        <v>10422110</v>
      </c>
      <c r="B89" s="19" t="s">
        <v>474</v>
      </c>
      <c r="C89" s="19">
        <v>7.5</v>
      </c>
      <c r="D89" s="19">
        <v>110</v>
      </c>
      <c r="E89" s="23">
        <f t="shared" si="0"/>
        <v>10422110</v>
      </c>
    </row>
    <row r="90" spans="1:5" x14ac:dyDescent="0.25">
      <c r="A90" s="46">
        <v>10422111</v>
      </c>
      <c r="B90" s="19" t="s">
        <v>475</v>
      </c>
      <c r="C90" s="19">
        <v>7</v>
      </c>
      <c r="D90" s="19">
        <v>111</v>
      </c>
      <c r="E90" s="23">
        <f t="shared" si="0"/>
        <v>10422111</v>
      </c>
    </row>
    <row r="91" spans="1:5" x14ac:dyDescent="0.25">
      <c r="A91" s="46">
        <v>10422112</v>
      </c>
      <c r="B91" s="19" t="s">
        <v>476</v>
      </c>
      <c r="C91" s="19">
        <v>4</v>
      </c>
      <c r="D91" s="19">
        <v>112</v>
      </c>
      <c r="E91" s="23">
        <f t="shared" si="0"/>
        <v>10422112</v>
      </c>
    </row>
    <row r="92" spans="1:5" x14ac:dyDescent="0.25">
      <c r="A92" s="46">
        <v>10422113</v>
      </c>
      <c r="B92" s="19" t="s">
        <v>477</v>
      </c>
      <c r="C92" s="19">
        <v>8</v>
      </c>
      <c r="D92" s="19">
        <v>113</v>
      </c>
      <c r="E92" s="23">
        <f t="shared" si="0"/>
        <v>10422113</v>
      </c>
    </row>
    <row r="93" spans="1:5" x14ac:dyDescent="0.25">
      <c r="A93" s="46">
        <v>10422114</v>
      </c>
      <c r="B93" s="19" t="s">
        <v>478</v>
      </c>
      <c r="C93" s="19">
        <v>5</v>
      </c>
      <c r="D93" s="19">
        <v>114</v>
      </c>
      <c r="E93" s="23">
        <f t="shared" si="0"/>
        <v>10422114</v>
      </c>
    </row>
    <row r="94" spans="1:5" x14ac:dyDescent="0.25">
      <c r="A94" s="46">
        <v>10422117</v>
      </c>
      <c r="B94" s="19" t="s">
        <v>479</v>
      </c>
      <c r="C94" s="19">
        <v>5.5</v>
      </c>
      <c r="D94" s="19">
        <v>117</v>
      </c>
      <c r="E94" s="23">
        <f t="shared" si="0"/>
        <v>10422117</v>
      </c>
    </row>
    <row r="95" spans="1:5" x14ac:dyDescent="0.25">
      <c r="A95" s="46">
        <v>10422118</v>
      </c>
      <c r="B95" s="19" t="s">
        <v>480</v>
      </c>
      <c r="C95" s="19">
        <v>7.5</v>
      </c>
      <c r="D95" s="19">
        <v>118</v>
      </c>
      <c r="E95" s="23">
        <f t="shared" si="0"/>
        <v>10422118</v>
      </c>
    </row>
    <row r="96" spans="1:5" x14ac:dyDescent="0.25">
      <c r="A96" s="46">
        <v>10422119</v>
      </c>
      <c r="B96" s="19" t="s">
        <v>481</v>
      </c>
      <c r="C96" s="19">
        <v>5</v>
      </c>
      <c r="D96" s="19">
        <v>119</v>
      </c>
      <c r="E96" s="23">
        <f t="shared" si="0"/>
        <v>10422119</v>
      </c>
    </row>
    <row r="97" spans="1:5" x14ac:dyDescent="0.25">
      <c r="A97" s="46">
        <v>10422120</v>
      </c>
      <c r="B97" s="19" t="s">
        <v>482</v>
      </c>
      <c r="C97" s="19">
        <v>5.5</v>
      </c>
      <c r="D97" s="19">
        <v>120</v>
      </c>
      <c r="E97" s="23">
        <f t="shared" si="0"/>
        <v>10422120</v>
      </c>
    </row>
    <row r="98" spans="1:5" x14ac:dyDescent="0.25">
      <c r="A98" s="46">
        <v>10422121</v>
      </c>
      <c r="B98" s="19" t="s">
        <v>483</v>
      </c>
      <c r="C98" s="19">
        <v>5.75</v>
      </c>
      <c r="D98" s="19">
        <v>121</v>
      </c>
      <c r="E98" s="23">
        <f t="shared" si="0"/>
        <v>10422121</v>
      </c>
    </row>
    <row r="99" spans="1:5" x14ac:dyDescent="0.25">
      <c r="A99" s="46">
        <v>10422122</v>
      </c>
      <c r="B99" s="19" t="s">
        <v>484</v>
      </c>
      <c r="C99" s="19">
        <v>8.25</v>
      </c>
      <c r="D99" s="19">
        <v>122</v>
      </c>
      <c r="E99" s="23">
        <f t="shared" si="0"/>
        <v>10422122</v>
      </c>
    </row>
    <row r="100" spans="1:5" x14ac:dyDescent="0.25">
      <c r="A100" s="46">
        <v>10422123</v>
      </c>
      <c r="B100" s="19" t="s">
        <v>485</v>
      </c>
      <c r="C100" s="19">
        <v>6.25</v>
      </c>
      <c r="D100" s="19">
        <v>123</v>
      </c>
      <c r="E100" s="23">
        <f t="shared" si="0"/>
        <v>10422123</v>
      </c>
    </row>
    <row r="101" spans="1:5" x14ac:dyDescent="0.25">
      <c r="A101" s="46">
        <v>10422124</v>
      </c>
      <c r="B101" s="19" t="s">
        <v>486</v>
      </c>
      <c r="C101" s="19">
        <v>6.5</v>
      </c>
      <c r="D101" s="19">
        <v>124</v>
      </c>
      <c r="E101" s="23">
        <f t="shared" si="0"/>
        <v>10422124</v>
      </c>
    </row>
    <row r="102" spans="1:5" x14ac:dyDescent="0.25">
      <c r="A102" s="46">
        <v>10421015</v>
      </c>
      <c r="B102" s="19" t="s">
        <v>487</v>
      </c>
      <c r="C102" s="19">
        <v>5.75</v>
      </c>
      <c r="D102" s="19">
        <v>1015</v>
      </c>
      <c r="E102" s="23">
        <f t="shared" ref="E102:E112" si="1">10420000+D102</f>
        <v>10421015</v>
      </c>
    </row>
    <row r="103" spans="1:5" x14ac:dyDescent="0.25">
      <c r="A103" s="46">
        <v>10421026</v>
      </c>
      <c r="B103" s="19" t="s">
        <v>488</v>
      </c>
      <c r="C103" s="19">
        <v>7.25</v>
      </c>
      <c r="D103" s="19">
        <v>1026</v>
      </c>
      <c r="E103" s="23">
        <f t="shared" si="1"/>
        <v>10421026</v>
      </c>
    </row>
    <row r="104" spans="1:5" x14ac:dyDescent="0.25">
      <c r="A104" s="46">
        <v>10421053</v>
      </c>
      <c r="B104" s="19" t="s">
        <v>489</v>
      </c>
      <c r="C104" s="19">
        <v>7.75</v>
      </c>
      <c r="D104" s="19">
        <v>1053</v>
      </c>
      <c r="E104" s="23">
        <f t="shared" si="1"/>
        <v>10421053</v>
      </c>
    </row>
    <row r="105" spans="1:5" x14ac:dyDescent="0.25">
      <c r="A105" s="46">
        <v>10421067</v>
      </c>
      <c r="B105" s="19" t="s">
        <v>490</v>
      </c>
      <c r="C105" s="19">
        <v>5</v>
      </c>
      <c r="D105" s="19">
        <v>1067</v>
      </c>
      <c r="E105" s="23">
        <f t="shared" si="1"/>
        <v>10421067</v>
      </c>
    </row>
    <row r="106" spans="1:5" x14ac:dyDescent="0.25">
      <c r="A106" s="46">
        <v>10421069</v>
      </c>
      <c r="B106" s="19" t="s">
        <v>491</v>
      </c>
      <c r="C106" s="19">
        <v>6.5</v>
      </c>
      <c r="D106" s="19">
        <v>1069</v>
      </c>
      <c r="E106" s="23">
        <f t="shared" si="1"/>
        <v>10421069</v>
      </c>
    </row>
    <row r="107" spans="1:5" x14ac:dyDescent="0.25">
      <c r="A107" s="46">
        <v>10421098</v>
      </c>
      <c r="B107" s="19" t="s">
        <v>492</v>
      </c>
      <c r="C107" s="19">
        <v>7.75</v>
      </c>
      <c r="D107" s="19">
        <v>1098</v>
      </c>
      <c r="E107" s="23">
        <f t="shared" si="1"/>
        <v>10421098</v>
      </c>
    </row>
    <row r="108" spans="1:5" x14ac:dyDescent="0.25">
      <c r="A108" s="46">
        <v>10421102</v>
      </c>
      <c r="B108" s="19" t="s">
        <v>493</v>
      </c>
      <c r="C108" s="19">
        <v>8.25</v>
      </c>
      <c r="D108" s="19">
        <v>1102</v>
      </c>
      <c r="E108" s="23">
        <f t="shared" si="1"/>
        <v>10421102</v>
      </c>
    </row>
    <row r="109" spans="1:5" x14ac:dyDescent="0.25">
      <c r="A109" s="46">
        <v>10421124</v>
      </c>
      <c r="B109" s="19" t="s">
        <v>494</v>
      </c>
      <c r="C109" s="19">
        <v>4.5</v>
      </c>
      <c r="D109" s="19">
        <v>1124</v>
      </c>
      <c r="E109" s="23">
        <f t="shared" si="1"/>
        <v>10421124</v>
      </c>
    </row>
    <row r="110" spans="1:5" x14ac:dyDescent="0.25">
      <c r="A110" s="46">
        <v>10421125</v>
      </c>
      <c r="B110" s="19" t="s">
        <v>495</v>
      </c>
      <c r="C110" s="19">
        <v>6.25</v>
      </c>
      <c r="D110" s="19">
        <v>1125</v>
      </c>
      <c r="E110" s="23">
        <f t="shared" si="1"/>
        <v>10421125</v>
      </c>
    </row>
    <row r="111" spans="1:5" x14ac:dyDescent="0.25">
      <c r="A111" s="46">
        <v>10421127</v>
      </c>
      <c r="B111" s="19" t="s">
        <v>496</v>
      </c>
      <c r="C111" s="19">
        <v>7</v>
      </c>
      <c r="D111" s="19">
        <v>1127</v>
      </c>
      <c r="E111" s="23">
        <f t="shared" si="1"/>
        <v>10421127</v>
      </c>
    </row>
    <row r="112" spans="1:5" x14ac:dyDescent="0.25">
      <c r="A112" s="46">
        <v>10421133</v>
      </c>
      <c r="B112" s="19" t="s">
        <v>497</v>
      </c>
      <c r="C112" s="19">
        <v>0.25</v>
      </c>
      <c r="D112" s="19">
        <v>1133</v>
      </c>
      <c r="E112" s="23">
        <f t="shared" si="1"/>
        <v>10421133</v>
      </c>
    </row>
    <row r="113" spans="1:5" x14ac:dyDescent="0.25">
      <c r="A113" s="46">
        <v>17417</v>
      </c>
      <c r="B113" s="19" t="s">
        <v>498</v>
      </c>
      <c r="C113" s="19">
        <v>3.75</v>
      </c>
      <c r="D113" s="19">
        <v>17417</v>
      </c>
      <c r="E113" s="23">
        <f t="shared" ref="E113:E115" si="2">D113</f>
        <v>17417</v>
      </c>
    </row>
    <row r="114" spans="1:5" x14ac:dyDescent="0.25">
      <c r="A114" s="46">
        <v>10222025</v>
      </c>
      <c r="B114" s="19" t="s">
        <v>499</v>
      </c>
      <c r="C114" s="19">
        <v>6</v>
      </c>
      <c r="D114" s="19">
        <v>10222025</v>
      </c>
      <c r="E114" s="23">
        <f t="shared" si="2"/>
        <v>10222025</v>
      </c>
    </row>
    <row r="115" spans="1:5" x14ac:dyDescent="0.25">
      <c r="A115" s="46">
        <v>10222040</v>
      </c>
      <c r="B115" s="19" t="s">
        <v>500</v>
      </c>
      <c r="C115" s="19">
        <v>4.25</v>
      </c>
      <c r="D115" s="19">
        <v>10222040</v>
      </c>
      <c r="E115" s="23">
        <f t="shared" si="2"/>
        <v>10222040</v>
      </c>
    </row>
  </sheetData>
  <autoFilter ref="A1:E1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</vt:lpstr>
      <vt:lpstr>Lab</vt:lpstr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2024-07-22T09:06:00Z</dcterms:modified>
</cp:coreProperties>
</file>