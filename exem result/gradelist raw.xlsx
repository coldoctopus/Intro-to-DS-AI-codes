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Intro-to-DS-AI-codes\exem result\"/>
    </mc:Choice>
  </mc:AlternateContent>
  <bookViews>
    <workbookView xWindow="0" yWindow="0" windowWidth="23040" windowHeight="9072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9" i="1" l="1"/>
  <c r="O119" i="1" s="1"/>
  <c r="K119" i="1"/>
  <c r="J119" i="1"/>
  <c r="L118" i="1"/>
  <c r="O118" i="1" s="1"/>
  <c r="K118" i="1"/>
  <c r="J118" i="1"/>
  <c r="L117" i="1"/>
  <c r="O117" i="1" s="1"/>
  <c r="K117" i="1"/>
  <c r="J117" i="1"/>
  <c r="L116" i="1"/>
  <c r="O116" i="1" s="1"/>
  <c r="K116" i="1"/>
  <c r="J116" i="1"/>
  <c r="L115" i="1"/>
  <c r="O115" i="1" s="1"/>
  <c r="K115" i="1"/>
  <c r="J115" i="1"/>
  <c r="L114" i="1"/>
  <c r="O114" i="1" s="1"/>
  <c r="K114" i="1"/>
  <c r="J114" i="1"/>
  <c r="L113" i="1"/>
  <c r="O113" i="1" s="1"/>
  <c r="K113" i="1"/>
  <c r="J113" i="1"/>
  <c r="L112" i="1"/>
  <c r="O112" i="1" s="1"/>
  <c r="K112" i="1"/>
  <c r="J112" i="1"/>
  <c r="L111" i="1"/>
  <c r="O111" i="1" s="1"/>
  <c r="K111" i="1"/>
  <c r="J111" i="1"/>
  <c r="L110" i="1"/>
  <c r="O110" i="1" s="1"/>
  <c r="K110" i="1"/>
  <c r="J110" i="1"/>
  <c r="L109" i="1"/>
  <c r="O109" i="1" s="1"/>
  <c r="K109" i="1"/>
  <c r="J109" i="1"/>
  <c r="L108" i="1"/>
  <c r="O108" i="1" s="1"/>
  <c r="K108" i="1"/>
  <c r="J108" i="1"/>
  <c r="L107" i="1"/>
  <c r="O107" i="1" s="1"/>
  <c r="K107" i="1"/>
  <c r="J107" i="1"/>
  <c r="L106" i="1"/>
  <c r="O106" i="1" s="1"/>
  <c r="K106" i="1"/>
  <c r="J106" i="1"/>
  <c r="L105" i="1"/>
  <c r="O105" i="1" s="1"/>
  <c r="K105" i="1"/>
  <c r="J105" i="1"/>
  <c r="L104" i="1"/>
  <c r="O104" i="1" s="1"/>
  <c r="K104" i="1"/>
  <c r="J104" i="1"/>
  <c r="L103" i="1"/>
  <c r="O103" i="1" s="1"/>
  <c r="K103" i="1"/>
  <c r="J103" i="1"/>
  <c r="L102" i="1"/>
  <c r="O102" i="1" s="1"/>
  <c r="K102" i="1"/>
  <c r="J102" i="1"/>
  <c r="L101" i="1"/>
  <c r="O101" i="1" s="1"/>
  <c r="K101" i="1"/>
  <c r="J101" i="1"/>
  <c r="L100" i="1"/>
  <c r="O100" i="1" s="1"/>
  <c r="K100" i="1"/>
  <c r="J100" i="1"/>
  <c r="L99" i="1"/>
  <c r="O99" i="1" s="1"/>
  <c r="K99" i="1"/>
  <c r="J99" i="1"/>
  <c r="L98" i="1"/>
  <c r="O98" i="1" s="1"/>
  <c r="K98" i="1"/>
  <c r="J98" i="1"/>
  <c r="L97" i="1"/>
  <c r="O97" i="1" s="1"/>
  <c r="K97" i="1"/>
  <c r="J97" i="1"/>
  <c r="L96" i="1"/>
  <c r="O96" i="1" s="1"/>
  <c r="K96" i="1"/>
  <c r="J96" i="1"/>
  <c r="L95" i="1"/>
  <c r="O95" i="1" s="1"/>
  <c r="K95" i="1"/>
  <c r="J95" i="1"/>
  <c r="L94" i="1"/>
  <c r="O94" i="1" s="1"/>
  <c r="K94" i="1"/>
  <c r="J94" i="1"/>
  <c r="L93" i="1"/>
  <c r="O93" i="1" s="1"/>
  <c r="K93" i="1"/>
  <c r="J93" i="1"/>
  <c r="L92" i="1"/>
  <c r="O92" i="1" s="1"/>
  <c r="K92" i="1"/>
  <c r="J92" i="1"/>
  <c r="L91" i="1"/>
  <c r="O91" i="1" s="1"/>
  <c r="K91" i="1"/>
  <c r="J91" i="1"/>
  <c r="L90" i="1"/>
  <c r="O90" i="1" s="1"/>
  <c r="K90" i="1"/>
  <c r="J90" i="1"/>
  <c r="L89" i="1"/>
  <c r="O89" i="1" s="1"/>
  <c r="K89" i="1"/>
  <c r="J89" i="1"/>
  <c r="L88" i="1"/>
  <c r="O88" i="1" s="1"/>
  <c r="K88" i="1"/>
  <c r="J88" i="1"/>
  <c r="L87" i="1"/>
  <c r="O87" i="1" s="1"/>
  <c r="K87" i="1"/>
  <c r="J87" i="1"/>
  <c r="L86" i="1"/>
  <c r="O86" i="1" s="1"/>
  <c r="K86" i="1"/>
  <c r="J86" i="1"/>
  <c r="L85" i="1"/>
  <c r="O85" i="1" s="1"/>
  <c r="K85" i="1"/>
  <c r="J85" i="1"/>
  <c r="L84" i="1"/>
  <c r="O84" i="1" s="1"/>
  <c r="K84" i="1"/>
  <c r="J84" i="1"/>
  <c r="L83" i="1"/>
  <c r="O83" i="1" s="1"/>
  <c r="K83" i="1"/>
  <c r="J83" i="1"/>
  <c r="L82" i="1"/>
  <c r="O82" i="1" s="1"/>
  <c r="K82" i="1"/>
  <c r="J82" i="1"/>
  <c r="L81" i="1"/>
  <c r="O81" i="1" s="1"/>
  <c r="K81" i="1"/>
  <c r="J81" i="1"/>
  <c r="L80" i="1"/>
  <c r="O80" i="1" s="1"/>
  <c r="K80" i="1"/>
  <c r="J80" i="1"/>
  <c r="L79" i="1"/>
  <c r="O79" i="1" s="1"/>
  <c r="K79" i="1"/>
  <c r="J79" i="1"/>
  <c r="L78" i="1"/>
  <c r="O78" i="1" s="1"/>
  <c r="K78" i="1"/>
  <c r="J78" i="1"/>
  <c r="L77" i="1"/>
  <c r="O77" i="1" s="1"/>
  <c r="K77" i="1"/>
  <c r="J77" i="1"/>
  <c r="L76" i="1"/>
  <c r="O76" i="1" s="1"/>
  <c r="K76" i="1"/>
  <c r="J76" i="1"/>
  <c r="L75" i="1"/>
  <c r="O75" i="1" s="1"/>
  <c r="K75" i="1"/>
  <c r="J75" i="1"/>
  <c r="L74" i="1"/>
  <c r="O74" i="1" s="1"/>
  <c r="K74" i="1"/>
  <c r="J74" i="1"/>
  <c r="L73" i="1"/>
  <c r="O73" i="1" s="1"/>
  <c r="K73" i="1"/>
  <c r="J73" i="1"/>
  <c r="L72" i="1"/>
  <c r="O72" i="1" s="1"/>
  <c r="K72" i="1"/>
  <c r="J72" i="1"/>
  <c r="L71" i="1"/>
  <c r="O71" i="1" s="1"/>
  <c r="K71" i="1"/>
  <c r="J71" i="1"/>
  <c r="L70" i="1"/>
  <c r="O70" i="1" s="1"/>
  <c r="K70" i="1"/>
  <c r="J70" i="1"/>
  <c r="L69" i="1"/>
  <c r="O69" i="1" s="1"/>
  <c r="K69" i="1"/>
  <c r="J69" i="1"/>
  <c r="L68" i="1"/>
  <c r="O68" i="1" s="1"/>
  <c r="K68" i="1"/>
  <c r="J68" i="1"/>
  <c r="L67" i="1"/>
  <c r="O67" i="1" s="1"/>
  <c r="K67" i="1"/>
  <c r="J67" i="1"/>
  <c r="L66" i="1"/>
  <c r="O66" i="1" s="1"/>
  <c r="K66" i="1"/>
  <c r="J66" i="1"/>
  <c r="L65" i="1"/>
  <c r="O65" i="1" s="1"/>
  <c r="K65" i="1"/>
  <c r="J65" i="1"/>
  <c r="L64" i="1"/>
  <c r="O64" i="1" s="1"/>
  <c r="K64" i="1"/>
  <c r="J64" i="1"/>
  <c r="L63" i="1"/>
  <c r="O63" i="1" s="1"/>
  <c r="K63" i="1"/>
  <c r="J63" i="1"/>
  <c r="L62" i="1"/>
  <c r="O62" i="1" s="1"/>
  <c r="K62" i="1"/>
  <c r="J62" i="1"/>
  <c r="L61" i="1"/>
  <c r="O61" i="1" s="1"/>
  <c r="K61" i="1"/>
  <c r="J61" i="1"/>
  <c r="L60" i="1"/>
  <c r="O60" i="1" s="1"/>
  <c r="K60" i="1"/>
  <c r="J60" i="1"/>
  <c r="L59" i="1"/>
  <c r="O59" i="1" s="1"/>
  <c r="K59" i="1"/>
  <c r="J59" i="1"/>
  <c r="L58" i="1"/>
  <c r="O58" i="1" s="1"/>
  <c r="K58" i="1"/>
  <c r="J58" i="1"/>
  <c r="L57" i="1"/>
  <c r="O57" i="1" s="1"/>
  <c r="K57" i="1"/>
  <c r="J57" i="1"/>
  <c r="L56" i="1"/>
  <c r="O56" i="1" s="1"/>
  <c r="K56" i="1"/>
  <c r="J56" i="1"/>
  <c r="L55" i="1"/>
  <c r="O55" i="1" s="1"/>
  <c r="K55" i="1"/>
  <c r="J55" i="1"/>
  <c r="L54" i="1"/>
  <c r="O54" i="1" s="1"/>
  <c r="J54" i="1"/>
  <c r="L53" i="1"/>
  <c r="O53" i="1" s="1"/>
  <c r="K53" i="1"/>
  <c r="J53" i="1"/>
  <c r="L52" i="1"/>
  <c r="O52" i="1" s="1"/>
  <c r="K52" i="1"/>
  <c r="J52" i="1"/>
  <c r="L51" i="1"/>
  <c r="O51" i="1" s="1"/>
  <c r="K51" i="1"/>
  <c r="J51" i="1"/>
  <c r="L50" i="1"/>
  <c r="O50" i="1" s="1"/>
  <c r="K50" i="1"/>
  <c r="J50" i="1"/>
  <c r="L49" i="1"/>
  <c r="O49" i="1" s="1"/>
  <c r="K49" i="1"/>
  <c r="J49" i="1"/>
  <c r="L48" i="1"/>
  <c r="O48" i="1" s="1"/>
  <c r="K48" i="1"/>
  <c r="J48" i="1"/>
  <c r="L47" i="1"/>
  <c r="O47" i="1" s="1"/>
  <c r="K47" i="1"/>
  <c r="J47" i="1"/>
  <c r="L46" i="1"/>
  <c r="O46" i="1" s="1"/>
  <c r="K46" i="1"/>
  <c r="J46" i="1"/>
  <c r="L45" i="1"/>
  <c r="O45" i="1" s="1"/>
  <c r="K45" i="1"/>
  <c r="J45" i="1"/>
  <c r="L44" i="1"/>
  <c r="O44" i="1" s="1"/>
  <c r="K44" i="1"/>
  <c r="J44" i="1"/>
  <c r="L43" i="1"/>
  <c r="O43" i="1" s="1"/>
  <c r="K43" i="1"/>
  <c r="J43" i="1"/>
  <c r="L42" i="1"/>
  <c r="O42" i="1" s="1"/>
  <c r="K42" i="1"/>
  <c r="J42" i="1"/>
  <c r="L41" i="1"/>
  <c r="O41" i="1" s="1"/>
  <c r="K41" i="1"/>
  <c r="J41" i="1"/>
  <c r="P41" i="1" s="1"/>
  <c r="Q41" i="1" s="1"/>
  <c r="R41" i="1" s="1"/>
  <c r="L40" i="1"/>
  <c r="O40" i="1" s="1"/>
  <c r="J40" i="1"/>
  <c r="L39" i="1"/>
  <c r="O39" i="1" s="1"/>
  <c r="K39" i="1"/>
  <c r="J39" i="1"/>
  <c r="L38" i="1"/>
  <c r="O38" i="1" s="1"/>
  <c r="K38" i="1"/>
  <c r="J38" i="1"/>
  <c r="L37" i="1"/>
  <c r="O37" i="1" s="1"/>
  <c r="K37" i="1"/>
  <c r="J37" i="1"/>
  <c r="P37" i="1" s="1"/>
  <c r="Q37" i="1" s="1"/>
  <c r="R37" i="1" s="1"/>
  <c r="L36" i="1"/>
  <c r="O36" i="1" s="1"/>
  <c r="K36" i="1"/>
  <c r="J36" i="1"/>
  <c r="L35" i="1"/>
  <c r="O35" i="1" s="1"/>
  <c r="K35" i="1"/>
  <c r="J35" i="1"/>
  <c r="L34" i="1"/>
  <c r="O34" i="1" s="1"/>
  <c r="K34" i="1"/>
  <c r="J34" i="1"/>
  <c r="L33" i="1"/>
  <c r="O33" i="1" s="1"/>
  <c r="K33" i="1"/>
  <c r="J33" i="1"/>
  <c r="L32" i="1"/>
  <c r="O32" i="1" s="1"/>
  <c r="K32" i="1"/>
  <c r="J32" i="1"/>
  <c r="L31" i="1"/>
  <c r="O31" i="1" s="1"/>
  <c r="K31" i="1"/>
  <c r="J31" i="1"/>
  <c r="L30" i="1"/>
  <c r="O30" i="1" s="1"/>
  <c r="J30" i="1"/>
  <c r="L29" i="1"/>
  <c r="O29" i="1" s="1"/>
  <c r="K29" i="1"/>
  <c r="J29" i="1"/>
  <c r="L28" i="1"/>
  <c r="O28" i="1" s="1"/>
  <c r="K28" i="1"/>
  <c r="J28" i="1"/>
  <c r="L27" i="1"/>
  <c r="O27" i="1" s="1"/>
  <c r="K27" i="1"/>
  <c r="J27" i="1"/>
  <c r="L26" i="1"/>
  <c r="O26" i="1" s="1"/>
  <c r="K26" i="1"/>
  <c r="J26" i="1"/>
  <c r="L25" i="1"/>
  <c r="O25" i="1" s="1"/>
  <c r="K25" i="1"/>
  <c r="J25" i="1"/>
  <c r="L24" i="1"/>
  <c r="O24" i="1" s="1"/>
  <c r="K24" i="1"/>
  <c r="J24" i="1"/>
  <c r="L23" i="1"/>
  <c r="O23" i="1" s="1"/>
  <c r="K23" i="1"/>
  <c r="J23" i="1"/>
  <c r="P23" i="1" s="1"/>
  <c r="Q23" i="1" s="1"/>
  <c r="R23" i="1" s="1"/>
  <c r="L22" i="1"/>
  <c r="O22" i="1" s="1"/>
  <c r="K22" i="1"/>
  <c r="L21" i="1"/>
  <c r="O21" i="1" s="1"/>
  <c r="K21" i="1"/>
  <c r="J21" i="1"/>
  <c r="L20" i="1"/>
  <c r="O20" i="1" s="1"/>
  <c r="K20" i="1"/>
  <c r="J20" i="1"/>
  <c r="L19" i="1"/>
  <c r="O19" i="1" s="1"/>
  <c r="K19" i="1"/>
  <c r="J19" i="1"/>
  <c r="L18" i="1"/>
  <c r="O18" i="1" s="1"/>
  <c r="K18" i="1"/>
  <c r="J18" i="1"/>
  <c r="L17" i="1"/>
  <c r="O17" i="1" s="1"/>
  <c r="K17" i="1"/>
  <c r="J17" i="1"/>
  <c r="L16" i="1"/>
  <c r="O16" i="1" s="1"/>
  <c r="K16" i="1"/>
  <c r="J16" i="1"/>
  <c r="L15" i="1"/>
  <c r="O15" i="1" s="1"/>
  <c r="K15" i="1"/>
  <c r="J15" i="1"/>
  <c r="L14" i="1"/>
  <c r="O14" i="1" s="1"/>
  <c r="K14" i="1"/>
  <c r="J14" i="1"/>
  <c r="L13" i="1"/>
  <c r="O13" i="1" s="1"/>
  <c r="K13" i="1"/>
  <c r="J13" i="1"/>
  <c r="L12" i="1"/>
  <c r="O12" i="1" s="1"/>
  <c r="K12" i="1"/>
  <c r="J12" i="1"/>
  <c r="L11" i="1"/>
  <c r="O11" i="1" s="1"/>
  <c r="K11" i="1"/>
  <c r="J11" i="1"/>
  <c r="L10" i="1"/>
  <c r="O10" i="1" s="1"/>
  <c r="K10" i="1"/>
  <c r="J10" i="1"/>
  <c r="L9" i="1"/>
  <c r="O9" i="1" s="1"/>
  <c r="K9" i="1"/>
  <c r="J9" i="1"/>
  <c r="L8" i="1"/>
  <c r="O8" i="1" s="1"/>
  <c r="K8" i="1"/>
  <c r="J8" i="1"/>
  <c r="P8" i="1" s="1"/>
  <c r="Q8" i="1" s="1"/>
  <c r="R8" i="1" s="1"/>
  <c r="L7" i="1"/>
  <c r="K7" i="1"/>
  <c r="J7" i="1"/>
  <c r="L6" i="1"/>
  <c r="O6" i="1" s="1"/>
  <c r="K6" i="1"/>
  <c r="J6" i="1"/>
  <c r="L5" i="1"/>
  <c r="O5" i="1" s="1"/>
  <c r="K5" i="1"/>
  <c r="J5" i="1"/>
  <c r="L4" i="1"/>
  <c r="O4" i="1" s="1"/>
  <c r="K4" i="1"/>
  <c r="J4" i="1"/>
  <c r="L3" i="1"/>
  <c r="O3" i="1" s="1"/>
  <c r="K3" i="1"/>
  <c r="J3" i="1"/>
  <c r="L2" i="1"/>
  <c r="O2" i="1" s="1"/>
  <c r="K2" i="1"/>
  <c r="J2" i="1"/>
  <c r="P48" i="1" l="1"/>
  <c r="Q48" i="1" s="1"/>
  <c r="R48" i="1" s="1"/>
  <c r="P62" i="1"/>
  <c r="Q62" i="1" s="1"/>
  <c r="R62" i="1" s="1"/>
  <c r="P10" i="1"/>
  <c r="Q10" i="1" s="1"/>
  <c r="R10" i="1" s="1"/>
  <c r="P43" i="1"/>
  <c r="Q43" i="1" s="1"/>
  <c r="R43" i="1" s="1"/>
  <c r="P50" i="1"/>
  <c r="Q50" i="1" s="1"/>
  <c r="R50" i="1" s="1"/>
  <c r="P54" i="1"/>
  <c r="Q54" i="1" s="1"/>
  <c r="R54" i="1" s="1"/>
  <c r="P60" i="1"/>
  <c r="Q60" i="1" s="1"/>
  <c r="R60" i="1" s="1"/>
  <c r="P65" i="1"/>
  <c r="Q65" i="1" s="1"/>
  <c r="R65" i="1" s="1"/>
  <c r="P76" i="1"/>
  <c r="Q76" i="1" s="1"/>
  <c r="R76" i="1" s="1"/>
  <c r="P81" i="1"/>
  <c r="Q81" i="1" s="1"/>
  <c r="R81" i="1" s="1"/>
  <c r="P92" i="1"/>
  <c r="Q92" i="1" s="1"/>
  <c r="R92" i="1" s="1"/>
  <c r="P97" i="1"/>
  <c r="Q97" i="1" s="1"/>
  <c r="R97" i="1" s="1"/>
  <c r="P108" i="1"/>
  <c r="Q108" i="1" s="1"/>
  <c r="R108" i="1" s="1"/>
  <c r="P7" i="1"/>
  <c r="Q7" i="1" s="1"/>
  <c r="R7" i="1" s="1"/>
  <c r="P29" i="1"/>
  <c r="Q29" i="1" s="1"/>
  <c r="R29" i="1" s="1"/>
  <c r="P40" i="1"/>
  <c r="Q40" i="1" s="1"/>
  <c r="R40" i="1" s="1"/>
  <c r="P24" i="1"/>
  <c r="Q24" i="1" s="1"/>
  <c r="R24" i="1" s="1"/>
  <c r="P78" i="1"/>
  <c r="Q78" i="1" s="1"/>
  <c r="R78" i="1" s="1"/>
  <c r="P94" i="1"/>
  <c r="Q94" i="1" s="1"/>
  <c r="R94" i="1" s="1"/>
  <c r="P110" i="1"/>
  <c r="Q110" i="1" s="1"/>
  <c r="R110" i="1" s="1"/>
  <c r="P115" i="1"/>
  <c r="Q115" i="1" s="1"/>
  <c r="R115" i="1" s="1"/>
  <c r="P9" i="1"/>
  <c r="Q9" i="1" s="1"/>
  <c r="R9" i="1" s="1"/>
  <c r="P25" i="1"/>
  <c r="Q25" i="1" s="1"/>
  <c r="R25" i="1" s="1"/>
  <c r="P36" i="1"/>
  <c r="Q36" i="1" s="1"/>
  <c r="R36" i="1" s="1"/>
  <c r="P47" i="1"/>
  <c r="Q47" i="1" s="1"/>
  <c r="R47" i="1" s="1"/>
  <c r="P58" i="1"/>
  <c r="Q58" i="1" s="1"/>
  <c r="R58" i="1" s="1"/>
  <c r="P74" i="1"/>
  <c r="Q74" i="1" s="1"/>
  <c r="R74" i="1" s="1"/>
  <c r="P90" i="1"/>
  <c r="Q90" i="1" s="1"/>
  <c r="R90" i="1" s="1"/>
  <c r="P106" i="1"/>
  <c r="Q106" i="1" s="1"/>
  <c r="R106" i="1" s="1"/>
  <c r="P32" i="1"/>
  <c r="Q32" i="1" s="1"/>
  <c r="R32" i="1" s="1"/>
  <c r="P27" i="1"/>
  <c r="Q27" i="1" s="1"/>
  <c r="R27" i="1" s="1"/>
  <c r="P6" i="1"/>
  <c r="Q6" i="1" s="1"/>
  <c r="R6" i="1" s="1"/>
  <c r="P22" i="1"/>
  <c r="Q22" i="1" s="1"/>
  <c r="R22" i="1" s="1"/>
  <c r="P33" i="1"/>
  <c r="Q33" i="1" s="1"/>
  <c r="R33" i="1" s="1"/>
  <c r="P113" i="1"/>
  <c r="Q113" i="1" s="1"/>
  <c r="R113" i="1" s="1"/>
  <c r="P12" i="1"/>
  <c r="Q12" i="1" s="1"/>
  <c r="R12" i="1" s="1"/>
  <c r="P28" i="1"/>
  <c r="Q28" i="1" s="1"/>
  <c r="R28" i="1" s="1"/>
  <c r="P55" i="1"/>
  <c r="Q55" i="1" s="1"/>
  <c r="R55" i="1" s="1"/>
  <c r="P71" i="1"/>
  <c r="Q71" i="1" s="1"/>
  <c r="R71" i="1" s="1"/>
  <c r="P87" i="1"/>
  <c r="Q87" i="1" s="1"/>
  <c r="R87" i="1" s="1"/>
  <c r="P103" i="1"/>
  <c r="Q103" i="1" s="1"/>
  <c r="R103" i="1" s="1"/>
  <c r="P119" i="1"/>
  <c r="Q119" i="1" s="1"/>
  <c r="R119" i="1" s="1"/>
  <c r="P56" i="1"/>
  <c r="Q56" i="1" s="1"/>
  <c r="R56" i="1" s="1"/>
  <c r="P72" i="1"/>
  <c r="Q72" i="1" s="1"/>
  <c r="R72" i="1" s="1"/>
  <c r="P88" i="1"/>
  <c r="Q88" i="1" s="1"/>
  <c r="R88" i="1" s="1"/>
  <c r="P104" i="1"/>
  <c r="Q104" i="1" s="1"/>
  <c r="R104" i="1" s="1"/>
  <c r="P46" i="1"/>
  <c r="Q46" i="1" s="1"/>
  <c r="R46" i="1" s="1"/>
  <c r="O7" i="1"/>
  <c r="P30" i="1"/>
  <c r="Q30" i="1" s="1"/>
  <c r="R30" i="1" s="1"/>
  <c r="P4" i="1"/>
  <c r="Q4" i="1" s="1"/>
  <c r="R4" i="1" s="1"/>
  <c r="P20" i="1"/>
  <c r="Q20" i="1" s="1"/>
  <c r="R20" i="1" s="1"/>
  <c r="P31" i="1"/>
  <c r="Q31" i="1" s="1"/>
  <c r="R31" i="1" s="1"/>
  <c r="P42" i="1"/>
  <c r="Q42" i="1" s="1"/>
  <c r="R42" i="1" s="1"/>
  <c r="P51" i="1"/>
  <c r="Q51" i="1" s="1"/>
  <c r="R51" i="1" s="1"/>
  <c r="P61" i="1"/>
  <c r="Q61" i="1" s="1"/>
  <c r="R61" i="1" s="1"/>
  <c r="P77" i="1"/>
  <c r="Q77" i="1" s="1"/>
  <c r="R77" i="1" s="1"/>
  <c r="P93" i="1"/>
  <c r="Q93" i="1" s="1"/>
  <c r="R93" i="1" s="1"/>
  <c r="P109" i="1"/>
  <c r="Q109" i="1" s="1"/>
  <c r="R109" i="1" s="1"/>
  <c r="P67" i="1"/>
  <c r="Q67" i="1" s="1"/>
  <c r="R67" i="1" s="1"/>
  <c r="P83" i="1"/>
  <c r="Q83" i="1" s="1"/>
  <c r="R83" i="1" s="1"/>
  <c r="P99" i="1"/>
  <c r="Q99" i="1" s="1"/>
  <c r="R99" i="1" s="1"/>
  <c r="P52" i="1"/>
  <c r="Q52" i="1" s="1"/>
  <c r="R52" i="1" s="1"/>
  <c r="P57" i="1"/>
  <c r="Q57" i="1" s="1"/>
  <c r="R57" i="1" s="1"/>
  <c r="P68" i="1"/>
  <c r="Q68" i="1" s="1"/>
  <c r="R68" i="1" s="1"/>
  <c r="P73" i="1"/>
  <c r="Q73" i="1" s="1"/>
  <c r="R73" i="1" s="1"/>
  <c r="P84" i="1"/>
  <c r="Q84" i="1" s="1"/>
  <c r="R84" i="1" s="1"/>
  <c r="P89" i="1"/>
  <c r="Q89" i="1" s="1"/>
  <c r="R89" i="1" s="1"/>
  <c r="P100" i="1"/>
  <c r="Q100" i="1" s="1"/>
  <c r="R100" i="1" s="1"/>
  <c r="P105" i="1"/>
  <c r="Q105" i="1" s="1"/>
  <c r="R105" i="1" s="1"/>
  <c r="P116" i="1"/>
  <c r="Q116" i="1" s="1"/>
  <c r="R116" i="1" s="1"/>
  <c r="P15" i="1"/>
  <c r="Q15" i="1" s="1"/>
  <c r="R15" i="1" s="1"/>
  <c r="P5" i="1"/>
  <c r="Q5" i="1" s="1"/>
  <c r="R5" i="1" s="1"/>
  <c r="P16" i="1"/>
  <c r="Q16" i="1" s="1"/>
  <c r="R16" i="1" s="1"/>
  <c r="P21" i="1"/>
  <c r="Q21" i="1" s="1"/>
  <c r="R21" i="1" s="1"/>
  <c r="P63" i="1"/>
  <c r="Q63" i="1" s="1"/>
  <c r="R63" i="1" s="1"/>
  <c r="P79" i="1"/>
  <c r="Q79" i="1" s="1"/>
  <c r="R79" i="1" s="1"/>
  <c r="P95" i="1"/>
  <c r="Q95" i="1" s="1"/>
  <c r="R95" i="1" s="1"/>
  <c r="P111" i="1"/>
  <c r="Q111" i="1" s="1"/>
  <c r="R111" i="1" s="1"/>
  <c r="P26" i="1"/>
  <c r="Q26" i="1" s="1"/>
  <c r="R26" i="1" s="1"/>
  <c r="P17" i="1"/>
  <c r="Q17" i="1" s="1"/>
  <c r="R17" i="1" s="1"/>
  <c r="P38" i="1"/>
  <c r="Q38" i="1" s="1"/>
  <c r="R38" i="1" s="1"/>
  <c r="P53" i="1"/>
  <c r="Q53" i="1" s="1"/>
  <c r="R53" i="1" s="1"/>
  <c r="P64" i="1"/>
  <c r="Q64" i="1" s="1"/>
  <c r="R64" i="1" s="1"/>
  <c r="P80" i="1"/>
  <c r="Q80" i="1" s="1"/>
  <c r="R80" i="1" s="1"/>
  <c r="P96" i="1"/>
  <c r="Q96" i="1" s="1"/>
  <c r="R96" i="1" s="1"/>
  <c r="P112" i="1"/>
  <c r="Q112" i="1" s="1"/>
  <c r="R112" i="1" s="1"/>
  <c r="P69" i="1"/>
  <c r="Q69" i="1" s="1"/>
  <c r="R69" i="1" s="1"/>
  <c r="P85" i="1"/>
  <c r="Q85" i="1" s="1"/>
  <c r="R85" i="1" s="1"/>
  <c r="P101" i="1"/>
  <c r="Q101" i="1" s="1"/>
  <c r="R101" i="1" s="1"/>
  <c r="P117" i="1"/>
  <c r="Q117" i="1" s="1"/>
  <c r="R117" i="1" s="1"/>
  <c r="P11" i="1"/>
  <c r="Q11" i="1" s="1"/>
  <c r="R11" i="1" s="1"/>
  <c r="P39" i="1"/>
  <c r="Q39" i="1" s="1"/>
  <c r="R39" i="1" s="1"/>
  <c r="P44" i="1"/>
  <c r="Q44" i="1" s="1"/>
  <c r="R44" i="1" s="1"/>
  <c r="P49" i="1"/>
  <c r="Q49" i="1" s="1"/>
  <c r="R49" i="1" s="1"/>
  <c r="P70" i="1"/>
  <c r="Q70" i="1" s="1"/>
  <c r="R70" i="1" s="1"/>
  <c r="P86" i="1"/>
  <c r="Q86" i="1" s="1"/>
  <c r="R86" i="1" s="1"/>
  <c r="P102" i="1"/>
  <c r="Q102" i="1" s="1"/>
  <c r="R102" i="1" s="1"/>
  <c r="P118" i="1"/>
  <c r="Q118" i="1" s="1"/>
  <c r="R118" i="1" s="1"/>
  <c r="P2" i="1"/>
  <c r="Q2" i="1" s="1"/>
  <c r="R2" i="1" s="1"/>
  <c r="P18" i="1"/>
  <c r="Q18" i="1" s="1"/>
  <c r="R18" i="1" s="1"/>
  <c r="P59" i="1"/>
  <c r="Q59" i="1" s="1"/>
  <c r="R59" i="1" s="1"/>
  <c r="P75" i="1"/>
  <c r="Q75" i="1" s="1"/>
  <c r="R75" i="1" s="1"/>
  <c r="P91" i="1"/>
  <c r="Q91" i="1" s="1"/>
  <c r="R91" i="1" s="1"/>
  <c r="P107" i="1"/>
  <c r="Q107" i="1" s="1"/>
  <c r="R107" i="1" s="1"/>
  <c r="P34" i="1"/>
  <c r="Q34" i="1" s="1"/>
  <c r="R34" i="1" s="1"/>
  <c r="P13" i="1"/>
  <c r="Q13" i="1" s="1"/>
  <c r="R13" i="1" s="1"/>
  <c r="P35" i="1"/>
  <c r="Q35" i="1" s="1"/>
  <c r="R35" i="1" s="1"/>
  <c r="P45" i="1"/>
  <c r="Q45" i="1" s="1"/>
  <c r="R45" i="1" s="1"/>
  <c r="P66" i="1"/>
  <c r="Q66" i="1" s="1"/>
  <c r="R66" i="1" s="1"/>
  <c r="P82" i="1"/>
  <c r="Q82" i="1" s="1"/>
  <c r="R82" i="1" s="1"/>
  <c r="P98" i="1"/>
  <c r="Q98" i="1" s="1"/>
  <c r="R98" i="1" s="1"/>
  <c r="P114" i="1"/>
  <c r="Q114" i="1" s="1"/>
  <c r="R114" i="1" s="1"/>
  <c r="P3" i="1"/>
  <c r="Q3" i="1" s="1"/>
  <c r="R3" i="1" s="1"/>
  <c r="P14" i="1"/>
  <c r="Q14" i="1" s="1"/>
  <c r="R14" i="1" s="1"/>
  <c r="P19" i="1"/>
  <c r="Q19" i="1" s="1"/>
  <c r="R19" i="1" s="1"/>
</calcChain>
</file>

<file path=xl/sharedStrings.xml><?xml version="1.0" encoding="utf-8"?>
<sst xmlns="http://schemas.openxmlformats.org/spreadsheetml/2006/main" count="532" uniqueCount="352">
  <si>
    <t>No.</t>
  </si>
  <si>
    <t>Intake</t>
  </si>
  <si>
    <t>VGU ID</t>
  </si>
  <si>
    <t>Last Names and Middle Names</t>
  </si>
  <si>
    <t>Names</t>
  </si>
  <si>
    <t>Attempts</t>
  </si>
  <si>
    <t>Emails</t>
  </si>
  <si>
    <t>Grade</t>
  </si>
  <si>
    <t>Note</t>
  </si>
  <si>
    <t>Lab 1</t>
  </si>
  <si>
    <t>Lab 2</t>
  </si>
  <si>
    <t>Final (40%)</t>
  </si>
  <si>
    <t>Project (40%)</t>
  </si>
  <si>
    <t>Bonus</t>
  </si>
  <si>
    <t>German</t>
  </si>
  <si>
    <t>CSE2021</t>
  </si>
  <si>
    <t>Bui Le</t>
  </si>
  <si>
    <t>Nhat</t>
  </si>
  <si>
    <t>10421133@student.vgu.edu.vn</t>
  </si>
  <si>
    <t>No submission</t>
  </si>
  <si>
    <t>Bui Van Hoang</t>
  </si>
  <si>
    <t>Vu</t>
  </si>
  <si>
    <t>10421127@student.vgu.edu.vn</t>
  </si>
  <si>
    <t>CSE2022</t>
  </si>
  <si>
    <t>Pham Duc</t>
  </si>
  <si>
    <t>An</t>
  </si>
  <si>
    <t>10422002@student.vgu.edu.vn</t>
  </si>
  <si>
    <t>Le Thai</t>
  </si>
  <si>
    <t>10422003@student.vgu.edu.vn</t>
  </si>
  <si>
    <t>Yamashita Tri</t>
  </si>
  <si>
    <t>10422004@student.vgu.edu.vn</t>
  </si>
  <si>
    <t>Vu Duc Hung</t>
  </si>
  <si>
    <t>Anh</t>
  </si>
  <si>
    <t>10222040@student.vgu.edu.vn</t>
  </si>
  <si>
    <t>Private code, not able to access</t>
  </si>
  <si>
    <t>Nguyen Tran Tuan</t>
  </si>
  <si>
    <t>10422005@student.vgu.edu.vn</t>
  </si>
  <si>
    <t>Nguyen Nhat</t>
  </si>
  <si>
    <t>10422006@student.vgu.edu.vn</t>
  </si>
  <si>
    <t>Nguyen Ngoc Minh</t>
  </si>
  <si>
    <t>10422009@student.vgu.edu.vn</t>
  </si>
  <si>
    <t>Dang Dinh Tu</t>
  </si>
  <si>
    <t>10422086@student.vgu.edu.vn</t>
  </si>
  <si>
    <t>bonus 2 not active</t>
  </si>
  <si>
    <t>Ho Viet</t>
  </si>
  <si>
    <t>Bach</t>
  </si>
  <si>
    <t>10422087@student.vgu.edu.vn</t>
  </si>
  <si>
    <t>Tran Gia</t>
  </si>
  <si>
    <t>Bao</t>
  </si>
  <si>
    <t>10421069@student.vgu.edu.vn</t>
  </si>
  <si>
    <t>Phan Le Quoc</t>
  </si>
  <si>
    <t>10421125@student.vgu.edu.vn</t>
  </si>
  <si>
    <t>Huynh Thien</t>
  </si>
  <si>
    <t>10422011@student.vgu.edu.vn</t>
  </si>
  <si>
    <t>Le Van Vinh</t>
  </si>
  <si>
    <t>10422012@student.vgu.edu.vn</t>
  </si>
  <si>
    <t>Huynh Trung</t>
  </si>
  <si>
    <t>10422013@student.vgu.edu.vn</t>
  </si>
  <si>
    <t>Nguyen Phuc</t>
  </si>
  <si>
    <t>10422014@student.vgu.edu.vn</t>
  </si>
  <si>
    <t>Duong Vo Thien</t>
  </si>
  <si>
    <t>10422015@student.vgu.edu.vn</t>
  </si>
  <si>
    <t>10422123@student.vgu.edu.vn</t>
  </si>
  <si>
    <t>Luong Tieu</t>
  </si>
  <si>
    <t>Cuong</t>
  </si>
  <si>
    <t>10422089@student.vgu.edu.vn</t>
  </si>
  <si>
    <t>Nguyen Tran Quoc</t>
  </si>
  <si>
    <t>Dat</t>
  </si>
  <si>
    <t>10422017@student.vgu.edu.vn</t>
  </si>
  <si>
    <t>Le Thanh</t>
  </si>
  <si>
    <t>10422091@student.vgu.edu.vn</t>
  </si>
  <si>
    <t>Cao Kim</t>
  </si>
  <si>
    <t>Do</t>
  </si>
  <si>
    <t>10422018@student.vgu.edu.vn</t>
  </si>
  <si>
    <t>Tran Manh</t>
  </si>
  <si>
    <t>Duc</t>
  </si>
  <si>
    <t>10422019@student.vgu.edu.vn</t>
  </si>
  <si>
    <t>Truong Huynh Anh</t>
  </si>
  <si>
    <t>10422092@student.vgu.edu.vn</t>
  </si>
  <si>
    <t>Pham Dao Quoc</t>
  </si>
  <si>
    <t>Dung</t>
  </si>
  <si>
    <t>10422020@student.vgu.edu.vn</t>
  </si>
  <si>
    <t>Pham Quang</t>
  </si>
  <si>
    <t>10422093@student.vgu.edu.vn</t>
  </si>
  <si>
    <t>Tran Hai</t>
  </si>
  <si>
    <t>Duong</t>
  </si>
  <si>
    <t>10422021@student.vgu.edu.vn</t>
  </si>
  <si>
    <t>Duy</t>
  </si>
  <si>
    <t>17417@student.vgu.edu.vn</t>
  </si>
  <si>
    <t>Pham</t>
  </si>
  <si>
    <t>10422022@student.vgu.edu.vn</t>
  </si>
  <si>
    <t>Nguyen</t>
  </si>
  <si>
    <t>10422023@student.vgu.edu.vn</t>
  </si>
  <si>
    <t>bonus 2 not correct</t>
  </si>
  <si>
    <t>Nguyen Minh</t>
  </si>
  <si>
    <t>Giap</t>
  </si>
  <si>
    <t>10422024@student.vgu.edu.vn</t>
  </si>
  <si>
    <t>Vo Thi Hong</t>
  </si>
  <si>
    <t>Ha</t>
  </si>
  <si>
    <t>10421015@student.vgu.edu.vn</t>
  </si>
  <si>
    <t>Truong Thanh</t>
  </si>
  <si>
    <t>Hai</t>
  </si>
  <si>
    <t>10422025@student.vgu.edu.vn</t>
  </si>
  <si>
    <t>Bonus 1 not corrrect, bonus 2 not check loss</t>
  </si>
  <si>
    <t>Do Nam</t>
  </si>
  <si>
    <t>10422094@student.vgu.edu.vn</t>
  </si>
  <si>
    <t>Nguyen Hoang</t>
  </si>
  <si>
    <t>Hao</t>
  </si>
  <si>
    <t>10422095@student.vgu.edu.vn</t>
  </si>
  <si>
    <t>Luu Huynh Phuc</t>
  </si>
  <si>
    <t>Hau</t>
  </si>
  <si>
    <t>10422026@student.vgu.edu.vn</t>
  </si>
  <si>
    <t>Tran Phuc Tan</t>
  </si>
  <si>
    <t>Hien</t>
  </si>
  <si>
    <t>10422027@student.vgu.edu.vn</t>
  </si>
  <si>
    <t>Duong Minh</t>
  </si>
  <si>
    <t>Hieu</t>
  </si>
  <si>
    <t>10422028@student.vgu.edu.vn</t>
  </si>
  <si>
    <t>Absent</t>
  </si>
  <si>
    <t>Tran Minh</t>
  </si>
  <si>
    <t>10422029@student.vgu.edu.vn</t>
  </si>
  <si>
    <t>wrong calculation, bonus 2 not run</t>
  </si>
  <si>
    <t>Nguyen Thanh Bao</t>
  </si>
  <si>
    <t>Hung</t>
  </si>
  <si>
    <t>10422031@student.vgu.edu.vn</t>
  </si>
  <si>
    <t>Le Phu</t>
  </si>
  <si>
    <t>10422032@student.vgu.edu.vn</t>
  </si>
  <si>
    <t>Nguyen Phu</t>
  </si>
  <si>
    <t>Huy</t>
  </si>
  <si>
    <t>10422033@student.vgu.edu.vn</t>
  </si>
  <si>
    <t>bonus 1 wrong calculation, bonus 2 wrong due to log_softmax</t>
  </si>
  <si>
    <t>Vu Duc</t>
  </si>
  <si>
    <t>10422097@student.vgu.edu.vn</t>
  </si>
  <si>
    <t>bonus 1 wrong calculation, bonus 2 not run</t>
  </si>
  <si>
    <t>Bui Dinh Anh</t>
  </si>
  <si>
    <t>10422098@student.vgu.edu.vn</t>
  </si>
  <si>
    <t>wrong calculation</t>
  </si>
  <si>
    <t>10422100@student.vgu.edu.vn</t>
  </si>
  <si>
    <t>Vacherot Minh Khai</t>
  </si>
  <si>
    <t>Keaton</t>
  </si>
  <si>
    <t>10422101@student.vgu.edu.vn</t>
  </si>
  <si>
    <t>load wrong checkpoints</t>
  </si>
  <si>
    <t>Pham Ngoc Duy</t>
  </si>
  <si>
    <t>Khanh</t>
  </si>
  <si>
    <t>10422103@student.vgu.edu.vn</t>
  </si>
  <si>
    <t>wrong loss function input, not work</t>
  </si>
  <si>
    <t>Huynh Nhat</t>
  </si>
  <si>
    <t>Khoa</t>
  </si>
  <si>
    <t>10421026@student.vgu.edu.vn</t>
  </si>
  <si>
    <t>error in view</t>
  </si>
  <si>
    <t>Nguyen Tien</t>
  </si>
  <si>
    <t>10422035@student.vgu.edu.vn</t>
  </si>
  <si>
    <t>Ngo Duc Minh</t>
  </si>
  <si>
    <t>10422036@student.vgu.edu.vn</t>
  </si>
  <si>
    <t>bonus 1 wrong</t>
  </si>
  <si>
    <t>Nguyen Hoang Anh</t>
  </si>
  <si>
    <t>10422037@student.vgu.edu.vn</t>
  </si>
  <si>
    <t>wrong calculation of wer</t>
  </si>
  <si>
    <t>Nguyen Anh</t>
  </si>
  <si>
    <t>10422104@student.vgu.edu.vn</t>
  </si>
  <si>
    <t>Luu Danh Thanh</t>
  </si>
  <si>
    <t>Khoi</t>
  </si>
  <si>
    <t>10422039@student.vgu.edu.vn</t>
  </si>
  <si>
    <t>Le Quang</t>
  </si>
  <si>
    <t>Kien</t>
  </si>
  <si>
    <t>10422040@student.vgu.edu.vn</t>
  </si>
  <si>
    <t>just run bonus 2 one epoch</t>
  </si>
  <si>
    <t>Vo Van Tuan</t>
  </si>
  <si>
    <t>Kiet</t>
  </si>
  <si>
    <t>10422041@student.vgu.edu.vn</t>
  </si>
  <si>
    <t>loss = 0.8, wer = 0.16</t>
  </si>
  <si>
    <t>Tran Nguyen</t>
  </si>
  <si>
    <t>Kim</t>
  </si>
  <si>
    <t>10422042@student.vgu.edu.vn</t>
  </si>
  <si>
    <t>wrong rel calculation</t>
  </si>
  <si>
    <t>Le Duc Thanh</t>
  </si>
  <si>
    <t>10422105@student.vgu.edu.vn</t>
  </si>
  <si>
    <t>may have bugs in feature calculation</t>
  </si>
  <si>
    <t>Luong Bao</t>
  </si>
  <si>
    <t>Lam</t>
  </si>
  <si>
    <t>10422043@student.vgu.edu.vn</t>
  </si>
  <si>
    <t>Dang Phan Khanh</t>
  </si>
  <si>
    <t>Linh</t>
  </si>
  <si>
    <t>10422106@student.vgu.edu.vn</t>
  </si>
  <si>
    <t>Pham Bao</t>
  </si>
  <si>
    <t>Long</t>
  </si>
  <si>
    <t>10422044@student.vgu.edu.vn</t>
  </si>
  <si>
    <t>Nguyen Manh Thanh</t>
  </si>
  <si>
    <t>10422045@student.vgu.edu.vn</t>
  </si>
  <si>
    <t>Mac Hai</t>
  </si>
  <si>
    <t>10422046@student.vgu.edu.vn</t>
  </si>
  <si>
    <t>bonus 1 wrong calc</t>
  </si>
  <si>
    <t>Manh</t>
  </si>
  <si>
    <t>10422047@student.vgu.edu.vn</t>
  </si>
  <si>
    <t>Nguyen Tran Ha</t>
  </si>
  <si>
    <t>Minh</t>
  </si>
  <si>
    <t>10422049@student.vgu.edu.vn</t>
  </si>
  <si>
    <t>not run decode wer</t>
  </si>
  <si>
    <t>Ton That Nhat</t>
  </si>
  <si>
    <t>10422050@student.vgu.edu.vn</t>
  </si>
  <si>
    <t>Dao Hong</t>
  </si>
  <si>
    <t>10422051@student.vgu.edu.vn</t>
  </si>
  <si>
    <t>bonus 2 not run</t>
  </si>
  <si>
    <t>Vu Dinh</t>
  </si>
  <si>
    <t>Nam</t>
  </si>
  <si>
    <t>10422052@student.vgu.edu.vn</t>
  </si>
  <si>
    <t>Vu Manh</t>
  </si>
  <si>
    <t>Nghia</t>
  </si>
  <si>
    <t>10422053@student.vgu.edu.vn</t>
  </si>
  <si>
    <t>Le Minh Bao</t>
  </si>
  <si>
    <t>Ngoc</t>
  </si>
  <si>
    <t>10422054@student.vgu.edu.vn</t>
  </si>
  <si>
    <t>Duong Bao</t>
  </si>
  <si>
    <t>10422055@student.vgu.edu.vn</t>
  </si>
  <si>
    <t>Nguyen Hoang Yen</t>
  </si>
  <si>
    <t>10422056@student.vgu.edu.vn</t>
  </si>
  <si>
    <t>Tran Si</t>
  </si>
  <si>
    <t>10422057@student.vgu.edu.vn</t>
  </si>
  <si>
    <t>Nguyen Khoi</t>
  </si>
  <si>
    <t>10422058@student.vgu.edu.vn</t>
  </si>
  <si>
    <t>Nguyen Thien</t>
  </si>
  <si>
    <t>10422059@student.vgu.edu.vn</t>
  </si>
  <si>
    <t>Nguyen Do Quynh</t>
  </si>
  <si>
    <t>10422108@student.vgu.edu.vn</t>
  </si>
  <si>
    <t>Pham Thanh</t>
  </si>
  <si>
    <t>Nha</t>
  </si>
  <si>
    <t>10422109@student.vgu.edu.vn</t>
  </si>
  <si>
    <t>bonus 1 wrong, bonus 2 not run</t>
  </si>
  <si>
    <t>Nguyen Le Chi</t>
  </si>
  <si>
    <t>Nhan</t>
  </si>
  <si>
    <t>10421098@student.vgu.edu.vn</t>
  </si>
  <si>
    <t>Nguyen Thanh</t>
  </si>
  <si>
    <t>10422110@student.vgu.edu.vn</t>
  </si>
  <si>
    <t>Hoang Quang</t>
  </si>
  <si>
    <t>10422060@student.vgu.edu.vn</t>
  </si>
  <si>
    <t>Mai Thi Yen</t>
  </si>
  <si>
    <t>Nhi</t>
  </si>
  <si>
    <t>10422061@student.vgu.edu.vn</t>
  </si>
  <si>
    <t>wrong calculation wer</t>
  </si>
  <si>
    <t>Truong Hao</t>
  </si>
  <si>
    <t>Nhien</t>
  </si>
  <si>
    <t>10422062@student.vgu.edu.vn</t>
  </si>
  <si>
    <t>Pham Luu Minh</t>
  </si>
  <si>
    <t>Nhu</t>
  </si>
  <si>
    <t>10422063@student.vgu.edu.vn</t>
  </si>
  <si>
    <t>bonus 1 wrong, bonus 2 missing code part</t>
  </si>
  <si>
    <t>Nguyen Tran Chan</t>
  </si>
  <si>
    <t>10422111@student.vgu.edu.vn</t>
  </si>
  <si>
    <t>Nguyen Huu</t>
  </si>
  <si>
    <t>Oanh</t>
  </si>
  <si>
    <t>10422112@student.vgu.edu.vn</t>
  </si>
  <si>
    <t>bonus 2 wrong</t>
  </si>
  <si>
    <t>Tran Duc</t>
  </si>
  <si>
    <t>Phat</t>
  </si>
  <si>
    <t>10222025@student.vgu.edu.vn</t>
  </si>
  <si>
    <t>Nguyen Thuc Nguyen</t>
  </si>
  <si>
    <t>Phong</t>
  </si>
  <si>
    <t>10422064@student.vgu.edu.vn</t>
  </si>
  <si>
    <t>Nguyen Xuan</t>
  </si>
  <si>
    <t>Phu</t>
  </si>
  <si>
    <t>10422065@student.vgu.edu.vn</t>
  </si>
  <si>
    <t>Phuc</t>
  </si>
  <si>
    <t>10422066@student.vgu.edu.vn</t>
  </si>
  <si>
    <t>Nguyen Song Thien</t>
  </si>
  <si>
    <t>10422067@student.vgu.edu.vn</t>
  </si>
  <si>
    <t>Nguyen Gia</t>
  </si>
  <si>
    <t>Phuong</t>
  </si>
  <si>
    <t>10422113@student.vgu.edu.vn</t>
  </si>
  <si>
    <t>Bonus run failed</t>
  </si>
  <si>
    <t>Le Ba Thai</t>
  </si>
  <si>
    <t>Quan</t>
  </si>
  <si>
    <t>10421102@student.vgu.edu.vn</t>
  </si>
  <si>
    <t>Hoang Nam</t>
  </si>
  <si>
    <t>Quoc</t>
  </si>
  <si>
    <t>10422070@student.vgu.edu.vn</t>
  </si>
  <si>
    <t>Bonus 2 may have bugs</t>
  </si>
  <si>
    <t>Tran Phuc</t>
  </si>
  <si>
    <t>Quy</t>
  </si>
  <si>
    <t>10422071@student.vgu.edu.vn</t>
  </si>
  <si>
    <t>no training run</t>
  </si>
  <si>
    <t>Huynh Thi Kim</t>
  </si>
  <si>
    <t>Quynh</t>
  </si>
  <si>
    <t>10421053@student.vgu.edu.vn</t>
  </si>
  <si>
    <t>Vo Tan</t>
  </si>
  <si>
    <t>Sang</t>
  </si>
  <si>
    <t>10422114@student.vgu.edu.vn</t>
  </si>
  <si>
    <t>Son</t>
  </si>
  <si>
    <t>10422072@student.vgu.edu.vn</t>
  </si>
  <si>
    <t>Le Binh</t>
  </si>
  <si>
    <t>Thanh</t>
  </si>
  <si>
    <t>10422074@student.vgu.edu.vn</t>
  </si>
  <si>
    <t>Nguyen Phuoc</t>
  </si>
  <si>
    <t>10422075@student.vgu.edu.vn</t>
  </si>
  <si>
    <t>Thien</t>
  </si>
  <si>
    <t>18919@student.vgu.edu.vn</t>
  </si>
  <si>
    <t>Thong</t>
  </si>
  <si>
    <t>10422117@student.vgu.edu.vn</t>
  </si>
  <si>
    <t>Nguyen Vu Minh</t>
  </si>
  <si>
    <t>Thy</t>
  </si>
  <si>
    <t>10422077@student.vgu.edu.vn</t>
  </si>
  <si>
    <t>Peng</t>
  </si>
  <si>
    <t>Tianyu</t>
  </si>
  <si>
    <t>10422124@student.vgu.edu.vn</t>
  </si>
  <si>
    <t>Le Viet</t>
  </si>
  <si>
    <t>Tin</t>
  </si>
  <si>
    <t>10422078@student.vgu.edu.vn</t>
  </si>
  <si>
    <t xml:space="preserve">Bonus 2 not run, log_softmax </t>
  </si>
  <si>
    <t>Tran Ngoc Anh</t>
  </si>
  <si>
    <t>Toan</t>
  </si>
  <si>
    <t>10422118@student.vgu.edu.vn</t>
  </si>
  <si>
    <t>Bonus 1 wrong</t>
  </si>
  <si>
    <t>Tran Nguyen Minh</t>
  </si>
  <si>
    <t>Tri</t>
  </si>
  <si>
    <t>10422119@student.vgu.edu.vn</t>
  </si>
  <si>
    <t>failed two requirements of accuracy</t>
  </si>
  <si>
    <t>Do Hoang</t>
  </si>
  <si>
    <t>Trieu</t>
  </si>
  <si>
    <t>10422120@student.vgu.edu.vn</t>
  </si>
  <si>
    <t>Truong</t>
  </si>
  <si>
    <t>10421124@student.vgu.edu.vn</t>
  </si>
  <si>
    <t>failed wer requirements</t>
  </si>
  <si>
    <t>Nguyen Duy</t>
  </si>
  <si>
    <t>10422079@student.vgu.edu.vn</t>
  </si>
  <si>
    <t>Tu</t>
  </si>
  <si>
    <t>10422080@student.vgu.edu.vn</t>
  </si>
  <si>
    <t>failed two requirements</t>
  </si>
  <si>
    <t>Bui Pham Minh</t>
  </si>
  <si>
    <t>Tuan</t>
  </si>
  <si>
    <t>10422081@student.vgu.edu.vn</t>
  </si>
  <si>
    <t>Nguyen Truong Anh</t>
  </si>
  <si>
    <t>10422082@student.vgu.edu.vn</t>
  </si>
  <si>
    <t>Nguyen Khanh</t>
  </si>
  <si>
    <t>Tuong</t>
  </si>
  <si>
    <t>10422121@student.vgu.edu.vn</t>
  </si>
  <si>
    <t>Ta Le Khoi</t>
  </si>
  <si>
    <t>Vi</t>
  </si>
  <si>
    <t>10422083@student.vgu.edu.vn</t>
  </si>
  <si>
    <t>Nguyen Tuan</t>
  </si>
  <si>
    <t>Viet</t>
  </si>
  <si>
    <t>10422084@student.vgu.edu.vn</t>
  </si>
  <si>
    <t>Tran Ngoc</t>
  </si>
  <si>
    <t>10422122@student.vgu.edu.vn</t>
  </si>
  <si>
    <t>Nguyen Thao</t>
  </si>
  <si>
    <t>Vy</t>
  </si>
  <si>
    <t>10421067@student.vgu.edu.vn</t>
  </si>
  <si>
    <t>Bui Duc</t>
  </si>
  <si>
    <t>Xuan</t>
  </si>
  <si>
    <t>10422085@student.vgu.edu.vn</t>
  </si>
  <si>
    <t>wrong wer calc</t>
  </si>
  <si>
    <t>Total final</t>
  </si>
  <si>
    <t>Rounded German</t>
  </si>
  <si>
    <t>Note (project)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</si>
</sst>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5">
    <font>
      <sz val="11"/>
      <color theme="1"/>
      <name val="Calibri"/>
      <family val="2"/>
      <scheme val="minor"/>
    </font>
    <font>
      <b/>
      <sz val="12"/>
      <color rgb="FF000000"/>
      <name val="Times New Roman"/>
    </font>
    <font>
      <sz val="10"/>
      <color theme="1"/>
      <name val="Calibri"/>
      <scheme val="minor"/>
    </font>
    <font>
      <sz val="12"/>
      <color rgb="FF000000"/>
      <name val="Times New Roman"/>
    </font>
    <font>
      <sz val="9"/>
      <color rgb="FF000000"/>
      <name val="&quot;Google Sans Mono&quot;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0" xfId="0" applyFont="1"/>
    <xf numFmtId="0" fontId="3" fillId="3" borderId="0" xfId="0" applyFont="1" applyFill="1"/>
    <xf numFmtId="0" fontId="4" fillId="4" borderId="0" xfId="0" applyFont="1" applyFill="1"/>
    <xf numFmtId="0" fontId="3" fillId="2" borderId="0" xfId="0" applyFont="1" applyFill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/>
    <xf numFmtId="0" fontId="2" fillId="5" borderId="0" xfId="0" applyFont="1" applyFill="1" applyAlignment="1"/>
    <xf numFmtId="0" fontId="2" fillId="5" borderId="0" xfId="0" applyFont="1" applyFill="1"/>
    <xf numFmtId="0" fontId="3" fillId="5" borderId="0" xfId="0" applyFont="1" applyFill="1" applyAlignment="1"/>
    <xf numFmtId="0" fontId="3" fillId="5" borderId="0" xfId="0" applyFont="1" applyFill="1"/>
    <xf numFmtId="0" fontId="4" fillId="5" borderId="0" xfId="0" applyFont="1" applyFill="1"/>
    <xf numFmtId="0" fontId="0" fillId="0" borderId="0" xfId="0" applyFont="1" applyAlignment="1"/>
    <xf numFmtId="0" fontId="3" fillId="6" borderId="0" xfId="0" applyFont="1" applyFill="1" applyAlignment="1"/>
    <xf numFmtId="0" fontId="3" fillId="6" borderId="0" xfId="0" applyFont="1" applyFill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radelist_%20Introduction%20to%20Data%20Science%20and%20AI_25.06.2024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de"/>
      <sheetName val="Lab"/>
      <sheetName val="exam"/>
    </sheetNames>
    <sheetDataSet>
      <sheetData sheetId="0"/>
      <sheetData sheetId="1">
        <row r="9">
          <cell r="C9">
            <v>10421133</v>
          </cell>
          <cell r="D9" t="str">
            <v>Bui Le</v>
          </cell>
          <cell r="E9" t="str">
            <v>Nhat</v>
          </cell>
          <cell r="F9">
            <v>1</v>
          </cell>
          <cell r="G9" t="str">
            <v>10421133@student.vgu.edu.vn</v>
          </cell>
          <cell r="H9">
            <v>10</v>
          </cell>
          <cell r="I9">
            <v>10</v>
          </cell>
        </row>
        <row r="10">
          <cell r="C10">
            <v>10421127</v>
          </cell>
          <cell r="D10" t="str">
            <v>Bui Van Hoang</v>
          </cell>
          <cell r="E10" t="str">
            <v>Vu</v>
          </cell>
          <cell r="F10">
            <v>1</v>
          </cell>
          <cell r="G10" t="str">
            <v>10421127@student.vgu.edu.vn</v>
          </cell>
          <cell r="H10">
            <v>10</v>
          </cell>
          <cell r="I10">
            <v>10</v>
          </cell>
        </row>
        <row r="11">
          <cell r="C11">
            <v>10422002</v>
          </cell>
          <cell r="D11" t="str">
            <v>Pham Duc</v>
          </cell>
          <cell r="E11" t="str">
            <v>An</v>
          </cell>
          <cell r="F11">
            <v>1</v>
          </cell>
          <cell r="G11" t="str">
            <v>10422002@student.vgu.edu.vn</v>
          </cell>
          <cell r="H11">
            <v>0</v>
          </cell>
          <cell r="I11">
            <v>10</v>
          </cell>
        </row>
        <row r="12">
          <cell r="C12">
            <v>10422003</v>
          </cell>
          <cell r="D12" t="str">
            <v>Le Thai</v>
          </cell>
          <cell r="E12" t="str">
            <v>An</v>
          </cell>
          <cell r="F12">
            <v>1</v>
          </cell>
          <cell r="G12" t="str">
            <v>10422003@student.vgu.edu.vn</v>
          </cell>
          <cell r="H12">
            <v>10</v>
          </cell>
          <cell r="I12">
            <v>10</v>
          </cell>
        </row>
        <row r="13">
          <cell r="C13">
            <v>10422004</v>
          </cell>
          <cell r="D13" t="str">
            <v>Yamashita Tri</v>
          </cell>
          <cell r="E13" t="str">
            <v>An</v>
          </cell>
          <cell r="F13">
            <v>1</v>
          </cell>
          <cell r="G13" t="str">
            <v>10422004@student.vgu.edu.vn</v>
          </cell>
          <cell r="H13">
            <v>10</v>
          </cell>
          <cell r="I13">
            <v>10</v>
          </cell>
        </row>
        <row r="14">
          <cell r="C14">
            <v>10222040</v>
          </cell>
          <cell r="D14" t="str">
            <v>Vu Duc Hung</v>
          </cell>
          <cell r="E14" t="str">
            <v>Anh</v>
          </cell>
          <cell r="F14">
            <v>1</v>
          </cell>
          <cell r="G14" t="str">
            <v>10222040@student.vgu.edu.vn</v>
          </cell>
          <cell r="H14">
            <v>0</v>
          </cell>
          <cell r="I14">
            <v>10</v>
          </cell>
        </row>
        <row r="15">
          <cell r="C15">
            <v>10422005</v>
          </cell>
          <cell r="D15" t="str">
            <v>Nguyen Tran Tuan</v>
          </cell>
          <cell r="E15" t="str">
            <v>Anh</v>
          </cell>
          <cell r="F15">
            <v>1</v>
          </cell>
          <cell r="G15" t="str">
            <v>10422005@student.vgu.edu.vn</v>
          </cell>
          <cell r="H15">
            <v>0</v>
          </cell>
          <cell r="I15">
            <v>10</v>
          </cell>
        </row>
        <row r="16">
          <cell r="C16">
            <v>10422006</v>
          </cell>
          <cell r="D16" t="str">
            <v>Nguyen Nhat</v>
          </cell>
          <cell r="E16" t="str">
            <v>Anh</v>
          </cell>
          <cell r="F16">
            <v>1</v>
          </cell>
          <cell r="G16" t="str">
            <v>10422006@student.vgu.edu.vn</v>
          </cell>
          <cell r="H16">
            <v>10</v>
          </cell>
          <cell r="I16">
            <v>10</v>
          </cell>
        </row>
        <row r="17">
          <cell r="C17">
            <v>10422009</v>
          </cell>
          <cell r="D17" t="str">
            <v>Nguyen Ngoc Minh</v>
          </cell>
          <cell r="E17" t="str">
            <v>Anh</v>
          </cell>
          <cell r="F17">
            <v>1</v>
          </cell>
          <cell r="G17" t="str">
            <v>10422009@student.vgu.edu.vn</v>
          </cell>
          <cell r="H17">
            <v>8</v>
          </cell>
          <cell r="I17">
            <v>10</v>
          </cell>
        </row>
        <row r="18">
          <cell r="C18">
            <v>10422086</v>
          </cell>
          <cell r="D18" t="str">
            <v>Dang Dinh Tu</v>
          </cell>
          <cell r="E18" t="str">
            <v>Anh</v>
          </cell>
          <cell r="F18">
            <v>1</v>
          </cell>
          <cell r="G18" t="str">
            <v>10422086@student.vgu.edu.vn</v>
          </cell>
          <cell r="H18">
            <v>10</v>
          </cell>
          <cell r="I18">
            <v>10</v>
          </cell>
        </row>
        <row r="19">
          <cell r="C19">
            <v>10422087</v>
          </cell>
          <cell r="D19" t="str">
            <v>Ho Viet</v>
          </cell>
          <cell r="E19" t="str">
            <v>Bach</v>
          </cell>
          <cell r="F19">
            <v>1</v>
          </cell>
          <cell r="G19" t="str">
            <v>10422087@student.vgu.edu.vn</v>
          </cell>
          <cell r="H19">
            <v>10</v>
          </cell>
          <cell r="I19">
            <v>10</v>
          </cell>
        </row>
        <row r="20">
          <cell r="C20">
            <v>10421069</v>
          </cell>
          <cell r="D20" t="str">
            <v>Tran Gia</v>
          </cell>
          <cell r="E20" t="str">
            <v>Bao</v>
          </cell>
          <cell r="F20">
            <v>1</v>
          </cell>
          <cell r="G20" t="str">
            <v>10421069@student.vgu.edu.vn</v>
          </cell>
          <cell r="I20">
            <v>10</v>
          </cell>
        </row>
        <row r="21">
          <cell r="C21">
            <v>10421125</v>
          </cell>
          <cell r="D21" t="str">
            <v>Phan Le Quoc</v>
          </cell>
          <cell r="E21" t="str">
            <v>Bao</v>
          </cell>
          <cell r="F21">
            <v>1</v>
          </cell>
          <cell r="G21" t="str">
            <v>10421125@student.vgu.edu.vn</v>
          </cell>
          <cell r="I21">
            <v>10</v>
          </cell>
        </row>
        <row r="22">
          <cell r="C22">
            <v>10422011</v>
          </cell>
          <cell r="D22" t="str">
            <v>Huynh Thien</v>
          </cell>
          <cell r="E22" t="str">
            <v>Bao</v>
          </cell>
          <cell r="F22">
            <v>1</v>
          </cell>
          <cell r="G22" t="str">
            <v>10422011@student.vgu.edu.vn</v>
          </cell>
          <cell r="H22">
            <v>10</v>
          </cell>
          <cell r="I22">
            <v>10</v>
          </cell>
        </row>
        <row r="23">
          <cell r="C23">
            <v>10422012</v>
          </cell>
          <cell r="D23" t="str">
            <v>Le Van Vinh</v>
          </cell>
          <cell r="E23" t="str">
            <v>Bao</v>
          </cell>
          <cell r="F23">
            <v>1</v>
          </cell>
          <cell r="G23" t="str">
            <v>10422012@student.vgu.edu.vn</v>
          </cell>
          <cell r="H23">
            <v>10</v>
          </cell>
          <cell r="I23">
            <v>10</v>
          </cell>
        </row>
        <row r="24">
          <cell r="C24">
            <v>10422013</v>
          </cell>
          <cell r="D24" t="str">
            <v>Huynh Trung</v>
          </cell>
          <cell r="E24" t="str">
            <v>Bao</v>
          </cell>
          <cell r="F24">
            <v>1</v>
          </cell>
          <cell r="G24" t="str">
            <v>10422013@student.vgu.edu.vn</v>
          </cell>
          <cell r="H24">
            <v>10</v>
          </cell>
          <cell r="I24">
            <v>10</v>
          </cell>
        </row>
        <row r="25">
          <cell r="C25">
            <v>10422014</v>
          </cell>
          <cell r="D25" t="str">
            <v>Nguyen Phuc</v>
          </cell>
          <cell r="E25" t="str">
            <v>Bao</v>
          </cell>
          <cell r="F25">
            <v>1</v>
          </cell>
          <cell r="G25" t="str">
            <v>10422014@student.vgu.edu.vn</v>
          </cell>
          <cell r="H25">
            <v>0</v>
          </cell>
          <cell r="I25">
            <v>10</v>
          </cell>
        </row>
        <row r="26">
          <cell r="C26">
            <v>10422015</v>
          </cell>
          <cell r="D26" t="str">
            <v>Duong Vo Thien</v>
          </cell>
          <cell r="E26" t="str">
            <v>Bao</v>
          </cell>
          <cell r="F26">
            <v>1</v>
          </cell>
          <cell r="G26" t="str">
            <v>10422015@student.vgu.edu.vn</v>
          </cell>
          <cell r="H26">
            <v>10</v>
          </cell>
          <cell r="I26">
            <v>10</v>
          </cell>
        </row>
        <row r="27">
          <cell r="C27">
            <v>10422123</v>
          </cell>
          <cell r="D27" t="str">
            <v>Huynh Thien</v>
          </cell>
          <cell r="E27" t="str">
            <v>Bao</v>
          </cell>
          <cell r="F27">
            <v>1</v>
          </cell>
          <cell r="G27" t="str">
            <v>10422123@student.vgu.edu.vn</v>
          </cell>
          <cell r="H27">
            <v>0</v>
          </cell>
          <cell r="I27">
            <v>10</v>
          </cell>
        </row>
        <row r="28">
          <cell r="C28">
            <v>10422089</v>
          </cell>
          <cell r="D28" t="str">
            <v>Luong Tieu</v>
          </cell>
          <cell r="E28" t="str">
            <v>Cuong</v>
          </cell>
          <cell r="F28">
            <v>1</v>
          </cell>
          <cell r="G28" t="str">
            <v>10422089@student.vgu.edu.vn</v>
          </cell>
          <cell r="I28">
            <v>10</v>
          </cell>
        </row>
        <row r="29">
          <cell r="C29">
            <v>10422017</v>
          </cell>
          <cell r="D29" t="str">
            <v>Nguyen Tran Quoc</v>
          </cell>
          <cell r="E29" t="str">
            <v>Dat</v>
          </cell>
          <cell r="F29">
            <v>1</v>
          </cell>
          <cell r="G29" t="str">
            <v>10422017@student.vgu.edu.vn</v>
          </cell>
          <cell r="I29">
            <v>10</v>
          </cell>
        </row>
        <row r="30">
          <cell r="C30">
            <v>10422091</v>
          </cell>
          <cell r="D30" t="str">
            <v>Le Thanh</v>
          </cell>
          <cell r="E30" t="str">
            <v>Dat</v>
          </cell>
          <cell r="F30">
            <v>1</v>
          </cell>
          <cell r="G30" t="str">
            <v>10422091@student.vgu.edu.vn</v>
          </cell>
          <cell r="H30">
            <v>4</v>
          </cell>
          <cell r="I30">
            <v>10</v>
          </cell>
        </row>
        <row r="31">
          <cell r="C31">
            <v>10422018</v>
          </cell>
          <cell r="D31" t="str">
            <v>Cao Kim</v>
          </cell>
          <cell r="E31" t="str">
            <v>Do</v>
          </cell>
          <cell r="F31">
            <v>1</v>
          </cell>
          <cell r="G31" t="str">
            <v>10422018@student.vgu.edu.vn</v>
          </cell>
          <cell r="I31">
            <v>10</v>
          </cell>
        </row>
        <row r="32">
          <cell r="C32">
            <v>10422019</v>
          </cell>
          <cell r="D32" t="str">
            <v>Tran Manh</v>
          </cell>
          <cell r="E32" t="str">
            <v>Duc</v>
          </cell>
          <cell r="F32">
            <v>1</v>
          </cell>
          <cell r="G32" t="str">
            <v>10422019@student.vgu.edu.vn</v>
          </cell>
          <cell r="H32">
            <v>10</v>
          </cell>
          <cell r="I32">
            <v>10</v>
          </cell>
        </row>
        <row r="33">
          <cell r="C33">
            <v>10422092</v>
          </cell>
          <cell r="D33" t="str">
            <v>Truong Huynh Anh</v>
          </cell>
          <cell r="E33" t="str">
            <v>Duc</v>
          </cell>
          <cell r="F33">
            <v>1</v>
          </cell>
          <cell r="G33" t="str">
            <v>10422092@student.vgu.edu.vn</v>
          </cell>
          <cell r="H33">
            <v>10</v>
          </cell>
          <cell r="I33">
            <v>10</v>
          </cell>
        </row>
        <row r="34">
          <cell r="C34">
            <v>10422020</v>
          </cell>
          <cell r="D34" t="str">
            <v>Pham Dao Quoc</v>
          </cell>
          <cell r="E34" t="str">
            <v>Dung</v>
          </cell>
          <cell r="F34">
            <v>1</v>
          </cell>
          <cell r="G34" t="str">
            <v>10422020@student.vgu.edu.vn</v>
          </cell>
          <cell r="H34">
            <v>8</v>
          </cell>
          <cell r="I34">
            <v>10</v>
          </cell>
        </row>
        <row r="35">
          <cell r="C35">
            <v>10422093</v>
          </cell>
          <cell r="D35" t="str">
            <v>Pham Quang</v>
          </cell>
          <cell r="E35" t="str">
            <v>Dung</v>
          </cell>
          <cell r="F35">
            <v>1</v>
          </cell>
          <cell r="G35" t="str">
            <v>10422093@student.vgu.edu.vn</v>
          </cell>
          <cell r="H35">
            <v>10</v>
          </cell>
          <cell r="I35">
            <v>10</v>
          </cell>
        </row>
        <row r="36">
          <cell r="C36">
            <v>10422021</v>
          </cell>
          <cell r="D36" t="str">
            <v>Tran Hai</v>
          </cell>
          <cell r="E36" t="str">
            <v>Duong</v>
          </cell>
          <cell r="F36">
            <v>1</v>
          </cell>
          <cell r="G36" t="str">
            <v>10422021@student.vgu.edu.vn</v>
          </cell>
          <cell r="H36">
            <v>10</v>
          </cell>
          <cell r="I36">
            <v>10</v>
          </cell>
        </row>
        <row r="37">
          <cell r="C37">
            <v>17417</v>
          </cell>
          <cell r="D37" t="str">
            <v>Bui Le</v>
          </cell>
          <cell r="E37" t="str">
            <v>Duy</v>
          </cell>
          <cell r="F37">
            <v>1</v>
          </cell>
          <cell r="G37" t="str">
            <v>17417@student.vgu.edu.vn</v>
          </cell>
          <cell r="I37">
            <v>10</v>
          </cell>
        </row>
        <row r="38">
          <cell r="C38">
            <v>10422022</v>
          </cell>
          <cell r="D38" t="str">
            <v>Pham</v>
          </cell>
          <cell r="E38" t="str">
            <v>Duy</v>
          </cell>
          <cell r="F38">
            <v>1</v>
          </cell>
          <cell r="G38" t="str">
            <v>10422022@student.vgu.edu.vn</v>
          </cell>
          <cell r="H38">
            <v>10</v>
          </cell>
          <cell r="I38">
            <v>10</v>
          </cell>
        </row>
        <row r="39">
          <cell r="C39">
            <v>10422023</v>
          </cell>
          <cell r="D39" t="str">
            <v>Nguyen</v>
          </cell>
          <cell r="E39" t="str">
            <v>Duy</v>
          </cell>
          <cell r="F39">
            <v>1</v>
          </cell>
          <cell r="G39" t="str">
            <v>10422023@student.vgu.edu.vn</v>
          </cell>
          <cell r="H39">
            <v>10</v>
          </cell>
          <cell r="I39">
            <v>10</v>
          </cell>
        </row>
        <row r="40">
          <cell r="C40">
            <v>10422024</v>
          </cell>
          <cell r="D40" t="str">
            <v>Nguyen Minh</v>
          </cell>
          <cell r="E40" t="str">
            <v>Giap</v>
          </cell>
          <cell r="F40">
            <v>1</v>
          </cell>
          <cell r="G40" t="str">
            <v>10422024@student.vgu.edu.vn</v>
          </cell>
          <cell r="H40">
            <v>10</v>
          </cell>
          <cell r="I40">
            <v>10</v>
          </cell>
        </row>
        <row r="41">
          <cell r="C41">
            <v>10421015</v>
          </cell>
          <cell r="D41" t="str">
            <v>Vo Thi Hong</v>
          </cell>
          <cell r="E41" t="str">
            <v>Ha</v>
          </cell>
          <cell r="F41">
            <v>1</v>
          </cell>
          <cell r="G41" t="str">
            <v>10421015@student.vgu.edu.vn</v>
          </cell>
          <cell r="H41">
            <v>10</v>
          </cell>
          <cell r="I41">
            <v>10</v>
          </cell>
        </row>
        <row r="42">
          <cell r="C42">
            <v>10422025</v>
          </cell>
          <cell r="D42" t="str">
            <v>Truong Thanh</v>
          </cell>
          <cell r="E42" t="str">
            <v>Hai</v>
          </cell>
          <cell r="F42">
            <v>1</v>
          </cell>
          <cell r="G42" t="str">
            <v>10422025@student.vgu.edu.vn</v>
          </cell>
          <cell r="H42">
            <v>10</v>
          </cell>
          <cell r="I42">
            <v>10</v>
          </cell>
        </row>
        <row r="43">
          <cell r="C43">
            <v>10422094</v>
          </cell>
          <cell r="D43" t="str">
            <v>Do Nam</v>
          </cell>
          <cell r="E43" t="str">
            <v>Hai</v>
          </cell>
          <cell r="F43">
            <v>1</v>
          </cell>
          <cell r="G43" t="str">
            <v>10422094@student.vgu.edu.vn</v>
          </cell>
          <cell r="H43">
            <v>8</v>
          </cell>
          <cell r="I43">
            <v>10</v>
          </cell>
        </row>
        <row r="44">
          <cell r="C44">
            <v>10422095</v>
          </cell>
          <cell r="D44" t="str">
            <v>Nguyen Hoang</v>
          </cell>
          <cell r="E44" t="str">
            <v>Hao</v>
          </cell>
          <cell r="F44">
            <v>1</v>
          </cell>
          <cell r="G44" t="str">
            <v>10422095@student.vgu.edu.vn</v>
          </cell>
          <cell r="H44">
            <v>10</v>
          </cell>
          <cell r="I44">
            <v>10</v>
          </cell>
        </row>
        <row r="45">
          <cell r="C45">
            <v>10422026</v>
          </cell>
          <cell r="D45" t="str">
            <v>Luu Huynh Phuc</v>
          </cell>
          <cell r="E45" t="str">
            <v>Hau</v>
          </cell>
          <cell r="F45">
            <v>1</v>
          </cell>
          <cell r="G45" t="str">
            <v>10422026@student.vgu.edu.vn</v>
          </cell>
          <cell r="H45">
            <v>10</v>
          </cell>
          <cell r="I45">
            <v>10</v>
          </cell>
        </row>
        <row r="46">
          <cell r="C46">
            <v>10422027</v>
          </cell>
          <cell r="D46" t="str">
            <v>Tran Phuc Tan</v>
          </cell>
          <cell r="E46" t="str">
            <v>Hien</v>
          </cell>
          <cell r="F46">
            <v>1</v>
          </cell>
          <cell r="G46" t="str">
            <v>10422027@student.vgu.edu.vn</v>
          </cell>
          <cell r="H46">
            <v>10</v>
          </cell>
          <cell r="I46">
            <v>10</v>
          </cell>
        </row>
        <row r="47">
          <cell r="C47">
            <v>10422028</v>
          </cell>
          <cell r="D47" t="str">
            <v>Duong Minh</v>
          </cell>
          <cell r="E47" t="str">
            <v>Hieu</v>
          </cell>
          <cell r="F47">
            <v>1</v>
          </cell>
          <cell r="G47" t="str">
            <v>10422028@student.vgu.edu.vn</v>
          </cell>
        </row>
        <row r="48">
          <cell r="C48">
            <v>10422029</v>
          </cell>
          <cell r="D48" t="str">
            <v>Tran Minh</v>
          </cell>
          <cell r="E48" t="str">
            <v>Hieu</v>
          </cell>
          <cell r="F48">
            <v>1</v>
          </cell>
          <cell r="G48" t="str">
            <v>10422029@student.vgu.edu.vn</v>
          </cell>
          <cell r="H48">
            <v>0</v>
          </cell>
          <cell r="I48">
            <v>10</v>
          </cell>
        </row>
        <row r="49">
          <cell r="C49">
            <v>10422031</v>
          </cell>
          <cell r="D49" t="str">
            <v>Nguyen Thanh Bao</v>
          </cell>
          <cell r="E49" t="str">
            <v>Hung</v>
          </cell>
          <cell r="F49">
            <v>1</v>
          </cell>
          <cell r="G49" t="str">
            <v>10422031@student.vgu.edu.vn</v>
          </cell>
          <cell r="H49">
            <v>10</v>
          </cell>
          <cell r="I49">
            <v>10</v>
          </cell>
        </row>
        <row r="50">
          <cell r="C50">
            <v>10422032</v>
          </cell>
          <cell r="D50" t="str">
            <v>Le Phu</v>
          </cell>
          <cell r="E50" t="str">
            <v>Hung</v>
          </cell>
          <cell r="F50">
            <v>1</v>
          </cell>
          <cell r="G50" t="str">
            <v>10422032@student.vgu.edu.vn</v>
          </cell>
        </row>
        <row r="51">
          <cell r="C51">
            <v>10422033</v>
          </cell>
          <cell r="D51" t="str">
            <v>Nguyen Phu</v>
          </cell>
          <cell r="E51" t="str">
            <v>Huy</v>
          </cell>
          <cell r="F51">
            <v>1</v>
          </cell>
          <cell r="G51" t="str">
            <v>10422033@student.vgu.edu.vn</v>
          </cell>
          <cell r="H51">
            <v>0</v>
          </cell>
          <cell r="I51">
            <v>10</v>
          </cell>
        </row>
        <row r="52">
          <cell r="C52">
            <v>10422097</v>
          </cell>
          <cell r="D52" t="str">
            <v>Vu Duc</v>
          </cell>
          <cell r="E52" t="str">
            <v>Huy</v>
          </cell>
          <cell r="F52">
            <v>1</v>
          </cell>
          <cell r="G52" t="str">
            <v>10422097@student.vgu.edu.vn</v>
          </cell>
          <cell r="H52">
            <v>0</v>
          </cell>
        </row>
        <row r="53">
          <cell r="C53">
            <v>10422098</v>
          </cell>
          <cell r="D53" t="str">
            <v>Bui Dinh Anh</v>
          </cell>
          <cell r="E53" t="str">
            <v>Huy</v>
          </cell>
          <cell r="F53">
            <v>1</v>
          </cell>
          <cell r="G53" t="str">
            <v>10422098@student.vgu.edu.vn</v>
          </cell>
          <cell r="H53">
            <v>10</v>
          </cell>
          <cell r="I53">
            <v>10</v>
          </cell>
        </row>
        <row r="54">
          <cell r="C54">
            <v>10422100</v>
          </cell>
          <cell r="D54" t="str">
            <v>Pham Quang</v>
          </cell>
          <cell r="E54" t="str">
            <v>Huy</v>
          </cell>
          <cell r="F54">
            <v>1</v>
          </cell>
          <cell r="G54" t="str">
            <v>10422100@student.vgu.edu.vn</v>
          </cell>
          <cell r="H54">
            <v>10</v>
          </cell>
          <cell r="I54">
            <v>10</v>
          </cell>
        </row>
        <row r="55">
          <cell r="C55">
            <v>10422101</v>
          </cell>
          <cell r="D55" t="str">
            <v>Vacherot Minh Khai</v>
          </cell>
          <cell r="E55" t="str">
            <v>Keaton</v>
          </cell>
          <cell r="F55">
            <v>1</v>
          </cell>
          <cell r="G55" t="str">
            <v>10422101@student.vgu.edu.vn</v>
          </cell>
          <cell r="H55">
            <v>10</v>
          </cell>
          <cell r="I55">
            <v>10</v>
          </cell>
        </row>
        <row r="56">
          <cell r="C56">
            <v>10422103</v>
          </cell>
          <cell r="D56" t="str">
            <v>Pham Ngoc Duy</v>
          </cell>
          <cell r="E56" t="str">
            <v>Khanh</v>
          </cell>
          <cell r="F56">
            <v>1</v>
          </cell>
          <cell r="G56" t="str">
            <v>10422103@student.vgu.edu.vn</v>
          </cell>
          <cell r="H56">
            <v>10</v>
          </cell>
          <cell r="I56">
            <v>10</v>
          </cell>
        </row>
        <row r="57">
          <cell r="C57">
            <v>10421026</v>
          </cell>
          <cell r="D57" t="str">
            <v>Huynh Nhat</v>
          </cell>
          <cell r="E57" t="str">
            <v>Khoa</v>
          </cell>
          <cell r="F57">
            <v>1</v>
          </cell>
          <cell r="G57" t="str">
            <v>10421026@student.vgu.edu.vn</v>
          </cell>
          <cell r="H57">
            <v>10</v>
          </cell>
          <cell r="I57">
            <v>10</v>
          </cell>
        </row>
        <row r="58">
          <cell r="C58">
            <v>10422035</v>
          </cell>
          <cell r="D58" t="str">
            <v>Nguyen Tien</v>
          </cell>
          <cell r="E58" t="str">
            <v>Khoa</v>
          </cell>
          <cell r="F58">
            <v>1</v>
          </cell>
          <cell r="G58" t="str">
            <v>10422035@student.vgu.edu.vn</v>
          </cell>
          <cell r="H58">
            <v>0</v>
          </cell>
          <cell r="I58">
            <v>10</v>
          </cell>
        </row>
        <row r="59">
          <cell r="C59">
            <v>10422036</v>
          </cell>
          <cell r="D59" t="str">
            <v>Ngo Duc Minh</v>
          </cell>
          <cell r="E59" t="str">
            <v>Khoa</v>
          </cell>
          <cell r="F59">
            <v>1</v>
          </cell>
          <cell r="G59" t="str">
            <v>10422036@student.vgu.edu.vn</v>
          </cell>
          <cell r="H59">
            <v>10</v>
          </cell>
          <cell r="I59">
            <v>10</v>
          </cell>
        </row>
        <row r="60">
          <cell r="C60">
            <v>10422037</v>
          </cell>
          <cell r="D60" t="str">
            <v>Nguyen Hoang Anh</v>
          </cell>
          <cell r="E60" t="str">
            <v>Khoa</v>
          </cell>
          <cell r="F60">
            <v>1</v>
          </cell>
          <cell r="G60" t="str">
            <v>10422037@student.vgu.edu.vn</v>
          </cell>
        </row>
        <row r="61">
          <cell r="C61">
            <v>10422104</v>
          </cell>
          <cell r="D61" t="str">
            <v>Nguyen Anh</v>
          </cell>
          <cell r="E61" t="str">
            <v>Khoa</v>
          </cell>
          <cell r="F61">
            <v>1</v>
          </cell>
          <cell r="G61" t="str">
            <v>10422104@student.vgu.edu.vn</v>
          </cell>
        </row>
        <row r="62">
          <cell r="C62">
            <v>10422039</v>
          </cell>
          <cell r="D62" t="str">
            <v>Luu Danh Thanh</v>
          </cell>
          <cell r="E62" t="str">
            <v>Khoi</v>
          </cell>
          <cell r="F62">
            <v>1</v>
          </cell>
          <cell r="G62" t="str">
            <v>10422039@student.vgu.edu.vn</v>
          </cell>
          <cell r="H62">
            <v>10</v>
          </cell>
          <cell r="I62">
            <v>10</v>
          </cell>
        </row>
        <row r="63">
          <cell r="C63">
            <v>10422040</v>
          </cell>
          <cell r="D63" t="str">
            <v>Le Quang</v>
          </cell>
          <cell r="E63" t="str">
            <v>Kien</v>
          </cell>
          <cell r="F63">
            <v>1</v>
          </cell>
          <cell r="G63" t="str">
            <v>10422040@student.vgu.edu.vn</v>
          </cell>
          <cell r="H63">
            <v>10</v>
          </cell>
          <cell r="I63">
            <v>10</v>
          </cell>
        </row>
        <row r="64">
          <cell r="C64">
            <v>10422041</v>
          </cell>
          <cell r="D64" t="str">
            <v>Vo Van Tuan</v>
          </cell>
          <cell r="E64" t="str">
            <v>Kiet</v>
          </cell>
          <cell r="F64">
            <v>1</v>
          </cell>
          <cell r="G64" t="str">
            <v>10422041@student.vgu.edu.vn</v>
          </cell>
          <cell r="H64">
            <v>0</v>
          </cell>
          <cell r="I64">
            <v>10</v>
          </cell>
        </row>
        <row r="65">
          <cell r="C65">
            <v>10422042</v>
          </cell>
          <cell r="D65" t="str">
            <v>Tran Nguyen</v>
          </cell>
          <cell r="E65" t="str">
            <v>Kim</v>
          </cell>
          <cell r="F65">
            <v>1</v>
          </cell>
          <cell r="G65" t="str">
            <v>10422042@student.vgu.edu.vn</v>
          </cell>
          <cell r="H65">
            <v>0</v>
          </cell>
          <cell r="I65">
            <v>10</v>
          </cell>
        </row>
        <row r="66">
          <cell r="C66">
            <v>10422105</v>
          </cell>
          <cell r="D66" t="str">
            <v>Le Duc Thanh</v>
          </cell>
          <cell r="E66" t="str">
            <v>Kim</v>
          </cell>
          <cell r="F66">
            <v>1</v>
          </cell>
          <cell r="G66" t="str">
            <v>10422105@student.vgu.edu.vn</v>
          </cell>
          <cell r="H66">
            <v>6</v>
          </cell>
          <cell r="I66">
            <v>10</v>
          </cell>
        </row>
        <row r="67">
          <cell r="C67">
            <v>10422043</v>
          </cell>
          <cell r="D67" t="str">
            <v>Luong Bao</v>
          </cell>
          <cell r="E67" t="str">
            <v>Lam</v>
          </cell>
          <cell r="F67">
            <v>1</v>
          </cell>
          <cell r="G67" t="str">
            <v>10422043@student.vgu.edu.vn</v>
          </cell>
          <cell r="H67">
            <v>10</v>
          </cell>
          <cell r="I67">
            <v>10</v>
          </cell>
        </row>
        <row r="68">
          <cell r="C68">
            <v>10422106</v>
          </cell>
          <cell r="D68" t="str">
            <v>Dang Phan Khanh</v>
          </cell>
          <cell r="E68" t="str">
            <v>Linh</v>
          </cell>
          <cell r="F68">
            <v>1</v>
          </cell>
          <cell r="G68" t="str">
            <v>10422106@student.vgu.edu.vn</v>
          </cell>
          <cell r="H68">
            <v>10</v>
          </cell>
          <cell r="I68">
            <v>10</v>
          </cell>
        </row>
        <row r="69">
          <cell r="C69">
            <v>10422044</v>
          </cell>
          <cell r="D69" t="str">
            <v>Pham Bao</v>
          </cell>
          <cell r="E69" t="str">
            <v>Long</v>
          </cell>
          <cell r="F69">
            <v>1</v>
          </cell>
          <cell r="G69" t="str">
            <v>10422044@student.vgu.edu.vn</v>
          </cell>
          <cell r="H69">
            <v>10</v>
          </cell>
          <cell r="I69">
            <v>10</v>
          </cell>
        </row>
        <row r="70">
          <cell r="C70">
            <v>10422045</v>
          </cell>
          <cell r="D70" t="str">
            <v>Nguyen Manh Thanh</v>
          </cell>
          <cell r="E70" t="str">
            <v>Long</v>
          </cell>
          <cell r="F70">
            <v>1</v>
          </cell>
          <cell r="G70" t="str">
            <v>10422045@student.vgu.edu.vn</v>
          </cell>
          <cell r="H70">
            <v>10</v>
          </cell>
          <cell r="I70">
            <v>10</v>
          </cell>
        </row>
        <row r="71">
          <cell r="C71">
            <v>10422046</v>
          </cell>
          <cell r="D71" t="str">
            <v>Mac Hai</v>
          </cell>
          <cell r="E71" t="str">
            <v>Long</v>
          </cell>
          <cell r="F71">
            <v>1</v>
          </cell>
          <cell r="G71" t="str">
            <v>10422046@student.vgu.edu.vn</v>
          </cell>
          <cell r="H71">
            <v>10</v>
          </cell>
          <cell r="I71">
            <v>10</v>
          </cell>
        </row>
        <row r="72">
          <cell r="C72">
            <v>10422047</v>
          </cell>
          <cell r="D72" t="str">
            <v>Pham Duc</v>
          </cell>
          <cell r="E72" t="str">
            <v>Manh</v>
          </cell>
          <cell r="F72">
            <v>1</v>
          </cell>
          <cell r="G72" t="str">
            <v>10422047@student.vgu.edu.vn</v>
          </cell>
          <cell r="H72">
            <v>10</v>
          </cell>
          <cell r="I72">
            <v>10</v>
          </cell>
        </row>
        <row r="73">
          <cell r="C73">
            <v>10422049</v>
          </cell>
          <cell r="D73" t="str">
            <v>Nguyen Tran Ha</v>
          </cell>
          <cell r="E73" t="str">
            <v>Minh</v>
          </cell>
          <cell r="F73">
            <v>1</v>
          </cell>
          <cell r="G73" t="str">
            <v>10422049@student.vgu.edu.vn</v>
          </cell>
          <cell r="I73">
            <v>10</v>
          </cell>
        </row>
        <row r="74">
          <cell r="C74">
            <v>10422050</v>
          </cell>
          <cell r="D74" t="str">
            <v>Ton That Nhat</v>
          </cell>
          <cell r="E74" t="str">
            <v>Minh</v>
          </cell>
          <cell r="F74">
            <v>1</v>
          </cell>
          <cell r="G74" t="str">
            <v>10422050@student.vgu.edu.vn</v>
          </cell>
          <cell r="H74">
            <v>10</v>
          </cell>
          <cell r="I74">
            <v>10</v>
          </cell>
        </row>
        <row r="75">
          <cell r="C75">
            <v>10422051</v>
          </cell>
          <cell r="D75" t="str">
            <v>Dao Hong</v>
          </cell>
          <cell r="E75" t="str">
            <v>Minh</v>
          </cell>
          <cell r="F75">
            <v>1</v>
          </cell>
          <cell r="G75" t="str">
            <v>10422051@student.vgu.edu.vn</v>
          </cell>
          <cell r="H75">
            <v>10</v>
          </cell>
          <cell r="I75">
            <v>10</v>
          </cell>
        </row>
        <row r="76">
          <cell r="C76">
            <v>10422052</v>
          </cell>
          <cell r="D76" t="str">
            <v>Vu Dinh</v>
          </cell>
          <cell r="E76" t="str">
            <v>Nam</v>
          </cell>
          <cell r="F76">
            <v>1</v>
          </cell>
          <cell r="G76" t="str">
            <v>10422052@student.vgu.edu.vn</v>
          </cell>
          <cell r="H76">
            <v>10</v>
          </cell>
          <cell r="I76">
            <v>10</v>
          </cell>
        </row>
        <row r="77">
          <cell r="C77">
            <v>10422053</v>
          </cell>
          <cell r="D77" t="str">
            <v>Vu Manh</v>
          </cell>
          <cell r="E77" t="str">
            <v>Nghia</v>
          </cell>
          <cell r="F77">
            <v>1</v>
          </cell>
          <cell r="G77" t="str">
            <v>10422053@student.vgu.edu.vn</v>
          </cell>
          <cell r="H77">
            <v>0</v>
          </cell>
          <cell r="I77">
            <v>10</v>
          </cell>
        </row>
        <row r="78">
          <cell r="C78">
            <v>10422054</v>
          </cell>
          <cell r="D78" t="str">
            <v>Le Minh Bao</v>
          </cell>
          <cell r="E78" t="str">
            <v>Ngoc</v>
          </cell>
          <cell r="F78">
            <v>1</v>
          </cell>
          <cell r="G78" t="str">
            <v>10422054@student.vgu.edu.vn</v>
          </cell>
          <cell r="H78">
            <v>10</v>
          </cell>
          <cell r="I78">
            <v>10</v>
          </cell>
        </row>
        <row r="79">
          <cell r="C79">
            <v>10422055</v>
          </cell>
          <cell r="D79" t="str">
            <v>Duong Bao</v>
          </cell>
          <cell r="E79" t="str">
            <v>Ngoc</v>
          </cell>
          <cell r="F79">
            <v>1</v>
          </cell>
          <cell r="G79" t="str">
            <v>10422055@student.vgu.edu.vn</v>
          </cell>
          <cell r="H79">
            <v>0</v>
          </cell>
          <cell r="I79">
            <v>10</v>
          </cell>
        </row>
        <row r="80">
          <cell r="C80">
            <v>10422056</v>
          </cell>
          <cell r="D80" t="str">
            <v>Nguyen Hoang Yen</v>
          </cell>
          <cell r="E80" t="str">
            <v>Ngoc</v>
          </cell>
          <cell r="F80">
            <v>1</v>
          </cell>
          <cell r="G80" t="str">
            <v>10422056@student.vgu.edu.vn</v>
          </cell>
          <cell r="H80">
            <v>10</v>
          </cell>
          <cell r="I80">
            <v>10</v>
          </cell>
        </row>
        <row r="81">
          <cell r="C81">
            <v>10422057</v>
          </cell>
          <cell r="D81" t="str">
            <v>Tran Si</v>
          </cell>
          <cell r="E81" t="str">
            <v>Nguyen</v>
          </cell>
          <cell r="F81">
            <v>1</v>
          </cell>
          <cell r="G81" t="str">
            <v>10422057@student.vgu.edu.vn</v>
          </cell>
          <cell r="H81">
            <v>10</v>
          </cell>
          <cell r="I81">
            <v>10</v>
          </cell>
        </row>
        <row r="82">
          <cell r="C82">
            <v>10422058</v>
          </cell>
          <cell r="D82" t="str">
            <v>Nguyen Khoi</v>
          </cell>
          <cell r="E82" t="str">
            <v>Nguyen</v>
          </cell>
          <cell r="F82">
            <v>1</v>
          </cell>
          <cell r="G82" t="str">
            <v>10422058@student.vgu.edu.vn</v>
          </cell>
          <cell r="H82">
            <v>10</v>
          </cell>
          <cell r="I82">
            <v>10</v>
          </cell>
        </row>
        <row r="83">
          <cell r="C83">
            <v>10422059</v>
          </cell>
          <cell r="D83" t="str">
            <v>Nguyen Thien</v>
          </cell>
          <cell r="E83" t="str">
            <v>Nguyen</v>
          </cell>
          <cell r="F83">
            <v>1</v>
          </cell>
          <cell r="G83" t="str">
            <v>10422059@student.vgu.edu.vn</v>
          </cell>
          <cell r="H83">
            <v>10</v>
          </cell>
          <cell r="I83">
            <v>10</v>
          </cell>
        </row>
        <row r="84">
          <cell r="C84">
            <v>10422108</v>
          </cell>
          <cell r="D84" t="str">
            <v>Nguyen Do Quynh</v>
          </cell>
          <cell r="E84" t="str">
            <v>Nguyen</v>
          </cell>
          <cell r="F84">
            <v>1</v>
          </cell>
          <cell r="G84" t="str">
            <v>10422108@student.vgu.edu.vn</v>
          </cell>
          <cell r="H84">
            <v>10</v>
          </cell>
          <cell r="I84">
            <v>10</v>
          </cell>
        </row>
        <row r="85">
          <cell r="C85">
            <v>10422109</v>
          </cell>
          <cell r="D85" t="str">
            <v>Pham Thanh</v>
          </cell>
          <cell r="E85" t="str">
            <v>Nha</v>
          </cell>
          <cell r="F85">
            <v>1</v>
          </cell>
          <cell r="G85" t="str">
            <v>10422109@student.vgu.edu.vn</v>
          </cell>
          <cell r="H85">
            <v>0</v>
          </cell>
          <cell r="I85">
            <v>10</v>
          </cell>
        </row>
        <row r="86">
          <cell r="C86">
            <v>10421098</v>
          </cell>
          <cell r="D86" t="str">
            <v>Nguyen Le Chi</v>
          </cell>
          <cell r="E86" t="str">
            <v>Nhan</v>
          </cell>
          <cell r="F86">
            <v>1</v>
          </cell>
          <cell r="G86" t="str">
            <v>10421098@student.vgu.edu.vn</v>
          </cell>
          <cell r="I86">
            <v>10</v>
          </cell>
        </row>
        <row r="87">
          <cell r="C87">
            <v>10422110</v>
          </cell>
          <cell r="D87" t="str">
            <v>Nguyen Thanh</v>
          </cell>
          <cell r="E87" t="str">
            <v>Nhan</v>
          </cell>
          <cell r="F87">
            <v>1</v>
          </cell>
          <cell r="G87" t="str">
            <v>10422110@student.vgu.edu.vn</v>
          </cell>
          <cell r="H87">
            <v>10</v>
          </cell>
          <cell r="I87">
            <v>10</v>
          </cell>
        </row>
        <row r="88">
          <cell r="C88">
            <v>10422060</v>
          </cell>
          <cell r="D88" t="str">
            <v>Hoang Quang</v>
          </cell>
          <cell r="E88" t="str">
            <v>Nhat</v>
          </cell>
          <cell r="F88">
            <v>1</v>
          </cell>
          <cell r="G88" t="str">
            <v>10422060@student.vgu.edu.vn</v>
          </cell>
          <cell r="H88">
            <v>10</v>
          </cell>
          <cell r="I88">
            <v>10</v>
          </cell>
        </row>
        <row r="89">
          <cell r="C89">
            <v>10422061</v>
          </cell>
          <cell r="D89" t="str">
            <v>Mai Thi Yen</v>
          </cell>
          <cell r="E89" t="str">
            <v>Nhi</v>
          </cell>
          <cell r="F89">
            <v>1</v>
          </cell>
          <cell r="G89" t="str">
            <v>10422061@student.vgu.edu.vn</v>
          </cell>
          <cell r="H89">
            <v>10</v>
          </cell>
          <cell r="I89">
            <v>10</v>
          </cell>
        </row>
        <row r="90">
          <cell r="C90">
            <v>10422062</v>
          </cell>
          <cell r="D90" t="str">
            <v>Truong Hao</v>
          </cell>
          <cell r="E90" t="str">
            <v>Nhien</v>
          </cell>
          <cell r="F90">
            <v>1</v>
          </cell>
          <cell r="G90" t="str">
            <v>10422062@student.vgu.edu.vn</v>
          </cell>
          <cell r="H90">
            <v>10</v>
          </cell>
          <cell r="I90">
            <v>10</v>
          </cell>
        </row>
        <row r="91">
          <cell r="C91">
            <v>10422063</v>
          </cell>
          <cell r="D91" t="str">
            <v>Pham Luu Minh</v>
          </cell>
          <cell r="E91" t="str">
            <v>Nhu</v>
          </cell>
          <cell r="F91">
            <v>1</v>
          </cell>
          <cell r="G91" t="str">
            <v>10422063@student.vgu.edu.vn</v>
          </cell>
          <cell r="H91">
            <v>8</v>
          </cell>
          <cell r="I91">
            <v>10</v>
          </cell>
        </row>
        <row r="92">
          <cell r="C92">
            <v>10422111</v>
          </cell>
          <cell r="D92" t="str">
            <v>Nguyen Tran Chan</v>
          </cell>
          <cell r="E92" t="str">
            <v>Nhu</v>
          </cell>
          <cell r="F92">
            <v>1</v>
          </cell>
          <cell r="G92" t="str">
            <v>10422111@student.vgu.edu.vn</v>
          </cell>
          <cell r="H92">
            <v>10</v>
          </cell>
          <cell r="I92">
            <v>10</v>
          </cell>
        </row>
        <row r="93">
          <cell r="C93">
            <v>10422112</v>
          </cell>
          <cell r="D93" t="str">
            <v>Nguyen Huu</v>
          </cell>
          <cell r="E93" t="str">
            <v>Oanh</v>
          </cell>
          <cell r="F93">
            <v>1</v>
          </cell>
          <cell r="G93" t="str">
            <v>10422112@student.vgu.edu.vn</v>
          </cell>
          <cell r="H93">
            <v>0</v>
          </cell>
          <cell r="I93">
            <v>10</v>
          </cell>
        </row>
        <row r="94">
          <cell r="C94">
            <v>10222025</v>
          </cell>
          <cell r="D94" t="str">
            <v>Tran Duc</v>
          </cell>
          <cell r="E94" t="str">
            <v>Phat</v>
          </cell>
          <cell r="F94">
            <v>1</v>
          </cell>
          <cell r="G94" t="str">
            <v>10222025@student.vgu.edu.vn</v>
          </cell>
          <cell r="H94">
            <v>10</v>
          </cell>
          <cell r="I94">
            <v>10</v>
          </cell>
        </row>
        <row r="95">
          <cell r="C95">
            <v>10422064</v>
          </cell>
          <cell r="D95" t="str">
            <v>Nguyen Thuc Nguyen</v>
          </cell>
          <cell r="E95" t="str">
            <v>Phong</v>
          </cell>
          <cell r="F95">
            <v>1</v>
          </cell>
          <cell r="G95" t="str">
            <v>10422064@student.vgu.edu.vn</v>
          </cell>
          <cell r="I95">
            <v>10</v>
          </cell>
        </row>
        <row r="96">
          <cell r="C96">
            <v>10422065</v>
          </cell>
          <cell r="D96" t="str">
            <v>Nguyen Xuan</v>
          </cell>
          <cell r="E96" t="str">
            <v>Phu</v>
          </cell>
          <cell r="F96">
            <v>1</v>
          </cell>
          <cell r="G96" t="str">
            <v>10422065@student.vgu.edu.vn</v>
          </cell>
          <cell r="H96">
            <v>8</v>
          </cell>
          <cell r="I96">
            <v>10</v>
          </cell>
        </row>
        <row r="97">
          <cell r="C97">
            <v>10422066</v>
          </cell>
          <cell r="D97" t="str">
            <v>Le Thanh</v>
          </cell>
          <cell r="E97" t="str">
            <v>Phuc</v>
          </cell>
          <cell r="F97">
            <v>1</v>
          </cell>
          <cell r="G97" t="str">
            <v>10422066@student.vgu.edu.vn</v>
          </cell>
          <cell r="H97">
            <v>0</v>
          </cell>
          <cell r="I97">
            <v>10</v>
          </cell>
        </row>
        <row r="98">
          <cell r="C98">
            <v>10422067</v>
          </cell>
          <cell r="D98" t="str">
            <v>Nguyen Song Thien</v>
          </cell>
          <cell r="E98" t="str">
            <v>Phuc</v>
          </cell>
          <cell r="F98">
            <v>1</v>
          </cell>
          <cell r="G98" t="str">
            <v>10422067@student.vgu.edu.vn</v>
          </cell>
        </row>
        <row r="99">
          <cell r="C99">
            <v>10422113</v>
          </cell>
          <cell r="D99" t="str">
            <v>Nguyen Gia</v>
          </cell>
          <cell r="E99" t="str">
            <v>Phuong</v>
          </cell>
          <cell r="F99">
            <v>1</v>
          </cell>
          <cell r="G99" t="str">
            <v>10422113@student.vgu.edu.vn</v>
          </cell>
          <cell r="H99">
            <v>10</v>
          </cell>
          <cell r="I99">
            <v>10</v>
          </cell>
        </row>
        <row r="100">
          <cell r="C100">
            <v>10421102</v>
          </cell>
          <cell r="D100" t="str">
            <v>Le Ba Thai</v>
          </cell>
          <cell r="E100" t="str">
            <v>Quan</v>
          </cell>
          <cell r="F100">
            <v>1</v>
          </cell>
          <cell r="G100" t="str">
            <v>10421102@student.vgu.edu.vn</v>
          </cell>
          <cell r="H100">
            <v>4</v>
          </cell>
          <cell r="I100">
            <v>10</v>
          </cell>
        </row>
        <row r="101">
          <cell r="C101">
            <v>10422070</v>
          </cell>
          <cell r="D101" t="str">
            <v>Hoang Nam</v>
          </cell>
          <cell r="E101" t="str">
            <v>Quoc</v>
          </cell>
          <cell r="F101">
            <v>1</v>
          </cell>
          <cell r="G101" t="str">
            <v>10422070@student.vgu.edu.vn</v>
          </cell>
          <cell r="I101">
            <v>10</v>
          </cell>
        </row>
        <row r="102">
          <cell r="C102">
            <v>10422071</v>
          </cell>
          <cell r="D102" t="str">
            <v>Tran Phuc</v>
          </cell>
          <cell r="E102" t="str">
            <v>Quy</v>
          </cell>
          <cell r="F102">
            <v>1</v>
          </cell>
          <cell r="G102" t="str">
            <v>10422071@student.vgu.edu.vn</v>
          </cell>
          <cell r="H102">
            <v>2</v>
          </cell>
          <cell r="I102">
            <v>10</v>
          </cell>
        </row>
        <row r="103">
          <cell r="C103">
            <v>10421053</v>
          </cell>
          <cell r="D103" t="str">
            <v>Huynh Thi Kim</v>
          </cell>
          <cell r="E103" t="str">
            <v>Quynh</v>
          </cell>
          <cell r="F103">
            <v>1</v>
          </cell>
          <cell r="G103" t="str">
            <v>10421053@student.vgu.edu.vn</v>
          </cell>
          <cell r="H103">
            <v>2</v>
          </cell>
          <cell r="I103">
            <v>10</v>
          </cell>
        </row>
        <row r="104">
          <cell r="C104">
            <v>10422114</v>
          </cell>
          <cell r="D104" t="str">
            <v>Vo Tan</v>
          </cell>
          <cell r="E104" t="str">
            <v>Sang</v>
          </cell>
          <cell r="F104">
            <v>1</v>
          </cell>
          <cell r="G104" t="str">
            <v>10422114@student.vgu.edu.vn</v>
          </cell>
          <cell r="H104">
            <v>10</v>
          </cell>
          <cell r="I104">
            <v>10</v>
          </cell>
        </row>
        <row r="105">
          <cell r="C105">
            <v>10422072</v>
          </cell>
          <cell r="D105" t="str">
            <v>Nguyen Thanh</v>
          </cell>
          <cell r="E105" t="str">
            <v>Son</v>
          </cell>
          <cell r="F105">
            <v>1</v>
          </cell>
          <cell r="G105" t="str">
            <v>10422072@student.vgu.edu.vn</v>
          </cell>
          <cell r="H105">
            <v>10</v>
          </cell>
          <cell r="I105">
            <v>10</v>
          </cell>
        </row>
        <row r="106">
          <cell r="C106">
            <v>10422074</v>
          </cell>
          <cell r="D106" t="str">
            <v>Le Binh</v>
          </cell>
          <cell r="E106" t="str">
            <v>Thanh</v>
          </cell>
          <cell r="F106">
            <v>1</v>
          </cell>
          <cell r="G106" t="str">
            <v>10422074@student.vgu.edu.vn</v>
          </cell>
          <cell r="H106">
            <v>10</v>
          </cell>
          <cell r="I106">
            <v>10</v>
          </cell>
        </row>
        <row r="107">
          <cell r="C107">
            <v>10422075</v>
          </cell>
          <cell r="D107" t="str">
            <v>Nguyen Phuoc</v>
          </cell>
          <cell r="E107" t="str">
            <v>Thanh</v>
          </cell>
          <cell r="F107">
            <v>1</v>
          </cell>
          <cell r="G107" t="str">
            <v>10422075@student.vgu.edu.vn</v>
          </cell>
          <cell r="H107">
            <v>10</v>
          </cell>
          <cell r="I107">
            <v>10</v>
          </cell>
        </row>
        <row r="108">
          <cell r="C108">
            <v>18919</v>
          </cell>
          <cell r="D108" t="str">
            <v>Pham Quang</v>
          </cell>
          <cell r="E108" t="str">
            <v>Thien</v>
          </cell>
          <cell r="F108">
            <v>1</v>
          </cell>
          <cell r="G108" t="str">
            <v>18919@student.vgu.edu.vn</v>
          </cell>
        </row>
        <row r="109">
          <cell r="C109">
            <v>10422117</v>
          </cell>
          <cell r="D109" t="str">
            <v>Nguyen Gia</v>
          </cell>
          <cell r="E109" t="str">
            <v>Thong</v>
          </cell>
          <cell r="F109">
            <v>1</v>
          </cell>
          <cell r="G109" t="str">
            <v>10422117@student.vgu.edu.vn</v>
          </cell>
          <cell r="H109">
            <v>10</v>
          </cell>
          <cell r="I109">
            <v>10</v>
          </cell>
        </row>
        <row r="110">
          <cell r="C110">
            <v>10422077</v>
          </cell>
          <cell r="D110" t="str">
            <v>Nguyen Vu Minh</v>
          </cell>
          <cell r="E110" t="str">
            <v>Thy</v>
          </cell>
          <cell r="F110">
            <v>1</v>
          </cell>
          <cell r="G110" t="str">
            <v>10422077@student.vgu.edu.vn</v>
          </cell>
        </row>
        <row r="111">
          <cell r="C111">
            <v>10422124</v>
          </cell>
          <cell r="D111" t="str">
            <v>Peng</v>
          </cell>
          <cell r="E111" t="str">
            <v>Tianyu</v>
          </cell>
          <cell r="F111">
            <v>1</v>
          </cell>
          <cell r="G111" t="str">
            <v>10422124@student.vgu.edu.vn</v>
          </cell>
          <cell r="H111">
            <v>0</v>
          </cell>
          <cell r="I111">
            <v>10</v>
          </cell>
        </row>
        <row r="112">
          <cell r="C112">
            <v>10422078</v>
          </cell>
          <cell r="D112" t="str">
            <v>Le Viet</v>
          </cell>
          <cell r="E112" t="str">
            <v>Tin</v>
          </cell>
          <cell r="F112">
            <v>1</v>
          </cell>
          <cell r="G112" t="str">
            <v>10422078@student.vgu.edu.vn</v>
          </cell>
          <cell r="H112">
            <v>0</v>
          </cell>
          <cell r="I112">
            <v>10</v>
          </cell>
        </row>
        <row r="113">
          <cell r="C113">
            <v>10422118</v>
          </cell>
          <cell r="D113" t="str">
            <v>Tran Ngoc Anh</v>
          </cell>
          <cell r="E113" t="str">
            <v>Toan</v>
          </cell>
          <cell r="F113">
            <v>1</v>
          </cell>
          <cell r="G113" t="str">
            <v>10422118@student.vgu.edu.vn</v>
          </cell>
          <cell r="H113">
            <v>10</v>
          </cell>
          <cell r="I113">
            <v>10</v>
          </cell>
        </row>
        <row r="114">
          <cell r="C114">
            <v>10422119</v>
          </cell>
          <cell r="D114" t="str">
            <v>Tran Nguyen Minh</v>
          </cell>
          <cell r="E114" t="str">
            <v>Tri</v>
          </cell>
          <cell r="F114">
            <v>1</v>
          </cell>
          <cell r="G114" t="str">
            <v>10422119@student.vgu.edu.vn</v>
          </cell>
          <cell r="H114">
            <v>8</v>
          </cell>
          <cell r="I114">
            <v>10</v>
          </cell>
        </row>
        <row r="115">
          <cell r="C115">
            <v>10422120</v>
          </cell>
          <cell r="D115" t="str">
            <v>Do Hoang</v>
          </cell>
          <cell r="E115" t="str">
            <v>Trieu</v>
          </cell>
          <cell r="F115">
            <v>1</v>
          </cell>
          <cell r="G115" t="str">
            <v>10422120@student.vgu.edu.vn</v>
          </cell>
          <cell r="H115">
            <v>4</v>
          </cell>
          <cell r="I115">
            <v>10</v>
          </cell>
        </row>
        <row r="116">
          <cell r="C116">
            <v>10421124</v>
          </cell>
          <cell r="D116" t="str">
            <v>Nguyen Xuan</v>
          </cell>
          <cell r="E116" t="str">
            <v>Truong</v>
          </cell>
          <cell r="F116">
            <v>1</v>
          </cell>
          <cell r="G116" t="str">
            <v>10421124@student.vgu.edu.vn</v>
          </cell>
          <cell r="H116">
            <v>10</v>
          </cell>
          <cell r="I116">
            <v>10</v>
          </cell>
        </row>
        <row r="117">
          <cell r="C117">
            <v>10422079</v>
          </cell>
          <cell r="D117" t="str">
            <v>Nguyen Duy</v>
          </cell>
          <cell r="E117" t="str">
            <v>Truong</v>
          </cell>
          <cell r="F117">
            <v>1</v>
          </cell>
          <cell r="G117" t="str">
            <v>10422079@student.vgu.edu.vn</v>
          </cell>
        </row>
        <row r="118">
          <cell r="C118">
            <v>10422080</v>
          </cell>
          <cell r="D118" t="str">
            <v>Nguyen Thanh</v>
          </cell>
          <cell r="E118" t="str">
            <v>Tu</v>
          </cell>
          <cell r="F118">
            <v>1</v>
          </cell>
          <cell r="G118" t="str">
            <v>10422080@student.vgu.edu.vn</v>
          </cell>
          <cell r="H118">
            <v>10</v>
          </cell>
          <cell r="I118">
            <v>10</v>
          </cell>
        </row>
        <row r="119">
          <cell r="C119">
            <v>10422081</v>
          </cell>
          <cell r="D119" t="str">
            <v>Bui Pham Minh</v>
          </cell>
          <cell r="E119" t="str">
            <v>Tuan</v>
          </cell>
          <cell r="F119">
            <v>1</v>
          </cell>
          <cell r="G119" t="str">
            <v>10422081@student.vgu.edu.vn</v>
          </cell>
          <cell r="H119">
            <v>10</v>
          </cell>
          <cell r="I119">
            <v>10</v>
          </cell>
        </row>
        <row r="120">
          <cell r="C120">
            <v>10422082</v>
          </cell>
          <cell r="D120" t="str">
            <v>Nguyen Truong Anh</v>
          </cell>
          <cell r="E120" t="str">
            <v>Tuan</v>
          </cell>
          <cell r="F120">
            <v>1</v>
          </cell>
          <cell r="G120" t="str">
            <v>10422082@student.vgu.edu.vn</v>
          </cell>
          <cell r="H120">
            <v>10</v>
          </cell>
          <cell r="I120">
            <v>10</v>
          </cell>
        </row>
        <row r="121">
          <cell r="C121">
            <v>10422121</v>
          </cell>
          <cell r="D121" t="str">
            <v>Nguyen Khanh</v>
          </cell>
          <cell r="E121" t="str">
            <v>Tuong</v>
          </cell>
          <cell r="F121">
            <v>1</v>
          </cell>
          <cell r="G121" t="str">
            <v>10422121@student.vgu.edu.vn</v>
          </cell>
          <cell r="H121">
            <v>8</v>
          </cell>
          <cell r="I121">
            <v>10</v>
          </cell>
        </row>
        <row r="122">
          <cell r="C122">
            <v>10422083</v>
          </cell>
          <cell r="D122" t="str">
            <v>Ta Le Khoi</v>
          </cell>
          <cell r="E122" t="str">
            <v>Vi</v>
          </cell>
          <cell r="F122">
            <v>1</v>
          </cell>
          <cell r="G122" t="str">
            <v>10422083@student.vgu.edu.vn</v>
          </cell>
          <cell r="H122">
            <v>0</v>
          </cell>
          <cell r="I122">
            <v>10</v>
          </cell>
        </row>
        <row r="123">
          <cell r="C123">
            <v>10422084</v>
          </cell>
          <cell r="D123" t="str">
            <v>Nguyen Tuan</v>
          </cell>
          <cell r="E123" t="str">
            <v>Viet</v>
          </cell>
          <cell r="F123">
            <v>1</v>
          </cell>
          <cell r="G123" t="str">
            <v>10422084@student.vgu.edu.vn</v>
          </cell>
          <cell r="H123">
            <v>10</v>
          </cell>
          <cell r="I123">
            <v>10</v>
          </cell>
        </row>
        <row r="124">
          <cell r="C124">
            <v>10422122</v>
          </cell>
          <cell r="D124" t="str">
            <v>Tran Ngoc</v>
          </cell>
          <cell r="E124" t="str">
            <v>Vu</v>
          </cell>
          <cell r="F124">
            <v>1</v>
          </cell>
          <cell r="G124" t="str">
            <v>10422122@student.vgu.edu.vn</v>
          </cell>
          <cell r="H124">
            <v>10</v>
          </cell>
          <cell r="I124">
            <v>10</v>
          </cell>
        </row>
        <row r="125">
          <cell r="C125">
            <v>10421067</v>
          </cell>
          <cell r="D125" t="str">
            <v>Nguyen Thao</v>
          </cell>
          <cell r="E125" t="str">
            <v>Vy</v>
          </cell>
          <cell r="F125">
            <v>1</v>
          </cell>
          <cell r="G125" t="str">
            <v>10421067@student.vgu.edu.vn</v>
          </cell>
          <cell r="H125">
            <v>10</v>
          </cell>
          <cell r="I125">
            <v>10</v>
          </cell>
        </row>
        <row r="126">
          <cell r="C126">
            <v>10422085</v>
          </cell>
          <cell r="D126" t="str">
            <v>Bui Duc</v>
          </cell>
          <cell r="E126" t="str">
            <v>Xuan</v>
          </cell>
          <cell r="F126">
            <v>1</v>
          </cell>
          <cell r="G126" t="str">
            <v>10422085@student.vgu.edu.vn</v>
          </cell>
          <cell r="H126">
            <v>10</v>
          </cell>
          <cell r="I126">
            <v>10</v>
          </cell>
        </row>
      </sheetData>
      <sheetData sheetId="2">
        <row r="2">
          <cell r="A2">
            <v>10422002</v>
          </cell>
          <cell r="B2" t="str">
            <v>imgs/dsai/9/018.jpg</v>
          </cell>
          <cell r="C2">
            <v>7.25</v>
          </cell>
        </row>
        <row r="3">
          <cell r="A3">
            <v>10422003</v>
          </cell>
          <cell r="B3" t="str">
            <v>imgs/dsai/10/012.jpg</v>
          </cell>
          <cell r="C3">
            <v>5.5</v>
          </cell>
        </row>
        <row r="4">
          <cell r="A4">
            <v>10422004</v>
          </cell>
          <cell r="B4" t="str">
            <v>imgs/dsai/10/020.jpg</v>
          </cell>
          <cell r="C4">
            <v>9</v>
          </cell>
        </row>
        <row r="5">
          <cell r="A5">
            <v>10422005</v>
          </cell>
          <cell r="B5" t="str">
            <v>imgs/dsai/9/008.jpg</v>
          </cell>
          <cell r="C5">
            <v>8</v>
          </cell>
        </row>
        <row r="6">
          <cell r="A6">
            <v>10422006</v>
          </cell>
          <cell r="B6" t="str">
            <v>imgs/dsai/10/008.jpg</v>
          </cell>
          <cell r="C6">
            <v>4.75</v>
          </cell>
        </row>
        <row r="7">
          <cell r="A7">
            <v>10422009</v>
          </cell>
          <cell r="B7" t="str">
            <v>imgs/dsai/10/006.jpg</v>
          </cell>
          <cell r="C7">
            <v>5.5</v>
          </cell>
        </row>
        <row r="8">
          <cell r="A8">
            <v>10422011</v>
          </cell>
          <cell r="B8" t="str">
            <v>imgs/dsai/9/004.jpg</v>
          </cell>
          <cell r="C8">
            <v>6.5</v>
          </cell>
        </row>
        <row r="9">
          <cell r="A9">
            <v>10422012</v>
          </cell>
          <cell r="B9" t="str">
            <v>imgs/dsai/9/014.jpg</v>
          </cell>
          <cell r="C9">
            <v>7.5</v>
          </cell>
        </row>
        <row r="10">
          <cell r="A10">
            <v>10422013</v>
          </cell>
          <cell r="B10" t="str">
            <v>imgs/dsai/9/002.jpg</v>
          </cell>
          <cell r="C10">
            <v>7.75</v>
          </cell>
        </row>
        <row r="11">
          <cell r="A11">
            <v>10422014</v>
          </cell>
          <cell r="B11" t="str">
            <v>imgs/dsai/9/012.jpg</v>
          </cell>
          <cell r="C11">
            <v>5.25</v>
          </cell>
        </row>
        <row r="12">
          <cell r="A12">
            <v>10422015</v>
          </cell>
          <cell r="B12" t="str">
            <v>imgs/dsai/10/014.jpg</v>
          </cell>
          <cell r="C12">
            <v>7.25</v>
          </cell>
        </row>
        <row r="13">
          <cell r="A13">
            <v>10422017</v>
          </cell>
          <cell r="B13" t="str">
            <v>imgs/dsai/10/018.jpg</v>
          </cell>
          <cell r="C13">
            <v>8.75</v>
          </cell>
        </row>
        <row r="14">
          <cell r="A14">
            <v>10422018</v>
          </cell>
          <cell r="B14" t="str">
            <v>imgs/dsai/9/010.jpg</v>
          </cell>
          <cell r="C14">
            <v>7.75</v>
          </cell>
        </row>
        <row r="15">
          <cell r="A15">
            <v>10422019</v>
          </cell>
          <cell r="B15" t="str">
            <v>imgs/dsai/8/002.jpg</v>
          </cell>
          <cell r="C15">
            <v>6.25</v>
          </cell>
        </row>
        <row r="16">
          <cell r="A16">
            <v>10422020</v>
          </cell>
          <cell r="B16" t="str">
            <v>imgs/dsai/8/012.jpg</v>
          </cell>
          <cell r="C16">
            <v>6.75</v>
          </cell>
        </row>
        <row r="17">
          <cell r="A17">
            <v>10422021</v>
          </cell>
          <cell r="B17" t="str">
            <v>imgs/dsai/7/002.jpg</v>
          </cell>
          <cell r="C17">
            <v>9.5</v>
          </cell>
        </row>
        <row r="18">
          <cell r="A18">
            <v>10422022</v>
          </cell>
          <cell r="B18" t="str">
            <v>imgs/dsai/7/016.jpg</v>
          </cell>
          <cell r="C18">
            <v>7.75</v>
          </cell>
        </row>
        <row r="19">
          <cell r="A19">
            <v>10422023</v>
          </cell>
          <cell r="B19" t="str">
            <v>imgs/dsai/7/004.jpg</v>
          </cell>
          <cell r="C19">
            <v>8</v>
          </cell>
        </row>
        <row r="20">
          <cell r="A20">
            <v>10422024</v>
          </cell>
          <cell r="B20" t="str">
            <v>imgs/dsai/8/008.jpg</v>
          </cell>
          <cell r="C20">
            <v>8.5</v>
          </cell>
        </row>
        <row r="21">
          <cell r="A21">
            <v>10422025</v>
          </cell>
          <cell r="B21" t="str">
            <v>imgs/dsai/8/016.jpg</v>
          </cell>
          <cell r="C21">
            <v>7.75</v>
          </cell>
        </row>
        <row r="22">
          <cell r="A22">
            <v>10422026</v>
          </cell>
          <cell r="B22" t="str">
            <v>imgs/dsai/8/004.jpg</v>
          </cell>
          <cell r="C22">
            <v>4.75</v>
          </cell>
        </row>
        <row r="23">
          <cell r="A23">
            <v>10422027</v>
          </cell>
          <cell r="B23" t="str">
            <v>imgs/dsai/8/014.jpg</v>
          </cell>
          <cell r="C23">
            <v>7.5</v>
          </cell>
        </row>
        <row r="24">
          <cell r="A24">
            <v>10422029</v>
          </cell>
          <cell r="B24" t="str">
            <v>imgs/dsai/7/012.jpg</v>
          </cell>
          <cell r="C24">
            <v>5.75</v>
          </cell>
        </row>
        <row r="25">
          <cell r="A25">
            <v>10422031</v>
          </cell>
          <cell r="B25" t="str">
            <v>imgs/dsai/8/010.jpg</v>
          </cell>
          <cell r="C25">
            <v>5.75</v>
          </cell>
        </row>
        <row r="26">
          <cell r="A26">
            <v>10422032</v>
          </cell>
          <cell r="B26" t="str">
            <v>imgs/dsai/7/006.jpg</v>
          </cell>
          <cell r="C26">
            <v>5</v>
          </cell>
        </row>
        <row r="27">
          <cell r="A27">
            <v>10422033</v>
          </cell>
          <cell r="B27" t="str">
            <v>imgs/dsai/7/008.jpg</v>
          </cell>
          <cell r="C27">
            <v>7</v>
          </cell>
        </row>
        <row r="28">
          <cell r="A28">
            <v>10422035</v>
          </cell>
          <cell r="B28" t="str">
            <v>imgs/dsai/5/022.jpg</v>
          </cell>
          <cell r="C28">
            <v>7.5</v>
          </cell>
        </row>
        <row r="29">
          <cell r="A29">
            <v>10422036</v>
          </cell>
          <cell r="B29" t="str">
            <v>imgs/dsai/5/024.jpg</v>
          </cell>
          <cell r="C29">
            <v>6</v>
          </cell>
        </row>
        <row r="30">
          <cell r="A30">
            <v>10422037</v>
          </cell>
          <cell r="B30" t="str">
            <v>imgs/dsai/5/020.jpg</v>
          </cell>
          <cell r="C30">
            <v>5.75</v>
          </cell>
        </row>
        <row r="31">
          <cell r="A31">
            <v>10422039</v>
          </cell>
          <cell r="B31" t="str">
            <v>imgs/dsai/6/006.jpg</v>
          </cell>
          <cell r="C31">
            <v>7.25</v>
          </cell>
        </row>
        <row r="32">
          <cell r="A32">
            <v>10422040</v>
          </cell>
          <cell r="B32" t="str">
            <v>imgs/dsai/5/012.jpg</v>
          </cell>
          <cell r="C32">
            <v>7</v>
          </cell>
        </row>
        <row r="33">
          <cell r="A33">
            <v>10422041</v>
          </cell>
          <cell r="B33" t="str">
            <v>imgs/dsai/6/012.jpg</v>
          </cell>
          <cell r="C33">
            <v>6.5</v>
          </cell>
        </row>
        <row r="34">
          <cell r="A34">
            <v>10422042</v>
          </cell>
          <cell r="B34" t="str">
            <v>imgs/dsai/5/006.jpg</v>
          </cell>
          <cell r="C34">
            <v>7</v>
          </cell>
        </row>
        <row r="35">
          <cell r="A35">
            <v>10422043</v>
          </cell>
          <cell r="B35" t="str">
            <v>imgs/dsai/6/018.jpg</v>
          </cell>
          <cell r="C35">
            <v>6</v>
          </cell>
        </row>
        <row r="36">
          <cell r="A36">
            <v>10422044</v>
          </cell>
          <cell r="B36" t="str">
            <v>imgs/dsai/5/008.jpg</v>
          </cell>
          <cell r="C36">
            <v>7</v>
          </cell>
        </row>
        <row r="37">
          <cell r="A37">
            <v>10422045</v>
          </cell>
          <cell r="B37" t="str">
            <v>imgs/dsai/6/014.jpg</v>
          </cell>
          <cell r="C37">
            <v>7.25</v>
          </cell>
        </row>
        <row r="38">
          <cell r="A38">
            <v>10422047</v>
          </cell>
          <cell r="B38" t="str">
            <v>imgs/dsai/5/002.jpg</v>
          </cell>
          <cell r="C38">
            <v>6.75</v>
          </cell>
        </row>
        <row r="39">
          <cell r="A39">
            <v>10422046</v>
          </cell>
          <cell r="B39" t="str">
            <v>imgs/dsai/6/010.jpg</v>
          </cell>
          <cell r="C39">
            <v>5.75</v>
          </cell>
        </row>
        <row r="40">
          <cell r="A40">
            <v>10422049</v>
          </cell>
          <cell r="B40" t="str">
            <v>imgs/dsai/6/020.jpg</v>
          </cell>
          <cell r="C40">
            <v>8.75</v>
          </cell>
        </row>
        <row r="41">
          <cell r="A41">
            <v>10422050</v>
          </cell>
          <cell r="B41" t="str">
            <v>imgs/dsai/6/002.jpg</v>
          </cell>
          <cell r="C41">
            <v>9</v>
          </cell>
        </row>
        <row r="42">
          <cell r="A42">
            <v>10422051</v>
          </cell>
          <cell r="B42" t="str">
            <v>imgs/dsai/6/004.jpg</v>
          </cell>
          <cell r="C42">
            <v>9</v>
          </cell>
        </row>
        <row r="43">
          <cell r="A43">
            <v>10422052</v>
          </cell>
          <cell r="B43" t="str">
            <v>imgs/dsai/5/004.jpg</v>
          </cell>
          <cell r="C43">
            <v>8.5</v>
          </cell>
        </row>
        <row r="44">
          <cell r="A44">
            <v>10422053</v>
          </cell>
          <cell r="B44" t="str">
            <v>imgs/dsai/6/008.jpg</v>
          </cell>
          <cell r="C44">
            <v>8</v>
          </cell>
        </row>
        <row r="45">
          <cell r="A45">
            <v>10422054</v>
          </cell>
          <cell r="B45" t="str">
            <v>imgs/dsai/4/022.jpg</v>
          </cell>
          <cell r="C45">
            <v>4.75</v>
          </cell>
        </row>
        <row r="46">
          <cell r="A46">
            <v>10422055</v>
          </cell>
          <cell r="B46" t="str">
            <v>imgs/dsai/4/004.jpg</v>
          </cell>
          <cell r="C46">
            <v>6.25</v>
          </cell>
        </row>
        <row r="47">
          <cell r="A47">
            <v>10422056</v>
          </cell>
          <cell r="B47" t="str">
            <v>imgs/dsai/4/024.jpg</v>
          </cell>
          <cell r="C47">
            <v>5.75</v>
          </cell>
        </row>
        <row r="48">
          <cell r="A48">
            <v>10422057</v>
          </cell>
          <cell r="B48" t="str">
            <v>imgs/dsai/3/006.jpg</v>
          </cell>
          <cell r="C48">
            <v>4.5</v>
          </cell>
        </row>
        <row r="49">
          <cell r="A49">
            <v>10422058</v>
          </cell>
          <cell r="B49" t="str">
            <v>imgs/dsai/4/002.jpg</v>
          </cell>
          <cell r="C49">
            <v>9</v>
          </cell>
        </row>
        <row r="50">
          <cell r="A50">
            <v>10422059</v>
          </cell>
          <cell r="B50" t="str">
            <v>imgs/dsai/3/008.jpg</v>
          </cell>
          <cell r="C50">
            <v>6.75</v>
          </cell>
        </row>
        <row r="51">
          <cell r="A51">
            <v>10422060</v>
          </cell>
          <cell r="B51" t="str">
            <v>imgs/dsai/4/010.jpg</v>
          </cell>
          <cell r="C51">
            <v>8.25</v>
          </cell>
        </row>
        <row r="52">
          <cell r="A52">
            <v>10422061</v>
          </cell>
          <cell r="B52" t="str">
            <v>imgs/dsai/4/014.jpg</v>
          </cell>
          <cell r="C52">
            <v>7</v>
          </cell>
        </row>
        <row r="53">
          <cell r="A53">
            <v>10422062</v>
          </cell>
          <cell r="B53" t="str">
            <v>imgs/dsai/3/002.jpg</v>
          </cell>
          <cell r="C53">
            <v>8.5</v>
          </cell>
        </row>
        <row r="54">
          <cell r="A54">
            <v>10422063</v>
          </cell>
          <cell r="B54" t="str">
            <v>imgs/dsai/4/012.jpg</v>
          </cell>
          <cell r="C54">
            <v>7.75</v>
          </cell>
        </row>
        <row r="55">
          <cell r="A55">
            <v>10422064</v>
          </cell>
          <cell r="B55" t="str">
            <v>imgs/dsai/4/020.jpg</v>
          </cell>
          <cell r="C55">
            <v>5.25</v>
          </cell>
        </row>
        <row r="56">
          <cell r="A56">
            <v>10422065</v>
          </cell>
          <cell r="B56" t="str">
            <v>imgs/dsai/4/016.jpg</v>
          </cell>
          <cell r="C56">
            <v>6.75</v>
          </cell>
        </row>
        <row r="57">
          <cell r="A57">
            <v>10422066</v>
          </cell>
          <cell r="B57" t="str">
            <v>imgs/dsai/3/024.jpg</v>
          </cell>
          <cell r="C57">
            <v>5.25</v>
          </cell>
        </row>
        <row r="58">
          <cell r="A58">
            <v>10422067</v>
          </cell>
          <cell r="B58" t="str">
            <v>imgs/dsai/3/004.jpg</v>
          </cell>
          <cell r="C58">
            <v>7.25</v>
          </cell>
        </row>
        <row r="59">
          <cell r="A59">
            <v>10422070</v>
          </cell>
          <cell r="B59" t="str">
            <v>imgs/dsai/3/020.jpg</v>
          </cell>
          <cell r="C59">
            <v>5</v>
          </cell>
        </row>
        <row r="60">
          <cell r="A60">
            <v>10422071</v>
          </cell>
          <cell r="B60" t="str">
            <v>imgs/dsai/2/010.jpg</v>
          </cell>
          <cell r="C60">
            <v>6.5</v>
          </cell>
        </row>
        <row r="61">
          <cell r="A61">
            <v>10422072</v>
          </cell>
          <cell r="B61" t="str">
            <v>imgs/dsai/2/022.jpg</v>
          </cell>
          <cell r="C61">
            <v>6.25</v>
          </cell>
        </row>
        <row r="62">
          <cell r="A62">
            <v>10422074</v>
          </cell>
          <cell r="B62" t="str">
            <v>imgs/dsai/1/010.jpg</v>
          </cell>
          <cell r="C62">
            <v>7.25</v>
          </cell>
        </row>
        <row r="63">
          <cell r="A63">
            <v>10422075</v>
          </cell>
          <cell r="B63" t="str">
            <v>imgs/dsai/2/014.jpg</v>
          </cell>
          <cell r="C63">
            <v>8.75</v>
          </cell>
        </row>
        <row r="64">
          <cell r="A64">
            <v>10422078</v>
          </cell>
          <cell r="B64" t="str">
            <v>imgs/dsai/1/018.jpg</v>
          </cell>
          <cell r="C64">
            <v>9.25</v>
          </cell>
        </row>
        <row r="65">
          <cell r="A65">
            <v>10422079</v>
          </cell>
          <cell r="B65" t="str">
            <v>imgs/dsai/2/020.jpg</v>
          </cell>
          <cell r="C65">
            <v>5.5</v>
          </cell>
        </row>
        <row r="66">
          <cell r="A66">
            <v>10422080</v>
          </cell>
          <cell r="B66" t="str">
            <v>imgs/dsai/2/006.jpg</v>
          </cell>
          <cell r="C66">
            <v>6.75</v>
          </cell>
        </row>
        <row r="67">
          <cell r="A67">
            <v>10422081</v>
          </cell>
          <cell r="B67" t="str">
            <v>imgs/dsai/1/016.jpg</v>
          </cell>
          <cell r="C67">
            <v>8.75</v>
          </cell>
        </row>
        <row r="68">
          <cell r="A68">
            <v>10422082</v>
          </cell>
          <cell r="B68" t="str">
            <v>imgs/dsai/2/002.jpg</v>
          </cell>
          <cell r="C68">
            <v>6.5</v>
          </cell>
        </row>
        <row r="69">
          <cell r="A69">
            <v>10422083</v>
          </cell>
          <cell r="B69" t="str">
            <v>imgs/dsai/2/004.jpg</v>
          </cell>
          <cell r="C69">
            <v>6</v>
          </cell>
        </row>
        <row r="70">
          <cell r="A70">
            <v>10422084</v>
          </cell>
          <cell r="B70" t="str">
            <v>imgs/dsai/1/020.jpg</v>
          </cell>
          <cell r="C70">
            <v>6.75</v>
          </cell>
        </row>
        <row r="71">
          <cell r="A71">
            <v>10422085</v>
          </cell>
          <cell r="B71" t="str">
            <v>imgs/dsai/1/022.jpg</v>
          </cell>
          <cell r="C71">
            <v>9</v>
          </cell>
        </row>
        <row r="72">
          <cell r="A72">
            <v>10422086</v>
          </cell>
          <cell r="B72" t="str">
            <v>imgs/dsai/9/022.jpg</v>
          </cell>
          <cell r="C72">
            <v>7.75</v>
          </cell>
        </row>
        <row r="73">
          <cell r="A73">
            <v>10422087</v>
          </cell>
          <cell r="B73" t="str">
            <v>imgs/dsai/9/024.jpg</v>
          </cell>
          <cell r="C73">
            <v>6.75</v>
          </cell>
        </row>
        <row r="74">
          <cell r="A74">
            <v>10422089</v>
          </cell>
          <cell r="B74" t="str">
            <v>imgs/dsai/10/004.jpg</v>
          </cell>
          <cell r="C74">
            <v>7</v>
          </cell>
        </row>
        <row r="75">
          <cell r="A75">
            <v>10422091</v>
          </cell>
          <cell r="B75" t="str">
            <v>imgs/dsai/9/016.jpg</v>
          </cell>
          <cell r="C75">
            <v>8</v>
          </cell>
        </row>
        <row r="76">
          <cell r="A76">
            <v>10422092</v>
          </cell>
          <cell r="B76" t="str">
            <v>imgs/dsai/8/018.jpg</v>
          </cell>
          <cell r="C76">
            <v>7.5</v>
          </cell>
        </row>
        <row r="77">
          <cell r="A77">
            <v>10422093</v>
          </cell>
          <cell r="B77" t="str">
            <v>imgs/dsai/7/018.jpg</v>
          </cell>
          <cell r="C77">
            <v>5</v>
          </cell>
        </row>
        <row r="78">
          <cell r="A78">
            <v>10422094</v>
          </cell>
          <cell r="B78" t="str">
            <v>imgs/dsai/7/022.jpg</v>
          </cell>
          <cell r="C78">
            <v>5.5</v>
          </cell>
        </row>
        <row r="79">
          <cell r="A79">
            <v>10422095</v>
          </cell>
          <cell r="B79" t="str">
            <v>imgs/dsai/7/024.jpg</v>
          </cell>
          <cell r="C79">
            <v>4.75</v>
          </cell>
        </row>
        <row r="80">
          <cell r="A80">
            <v>10422097</v>
          </cell>
          <cell r="B80" t="str">
            <v>imgs/dsai/7/014.jpg</v>
          </cell>
          <cell r="C80">
            <v>7</v>
          </cell>
        </row>
        <row r="81">
          <cell r="A81">
            <v>10422098</v>
          </cell>
          <cell r="B81" t="str">
            <v>imgs/dsai/8/006.jpg</v>
          </cell>
          <cell r="C81">
            <v>5.5</v>
          </cell>
        </row>
        <row r="82">
          <cell r="A82">
            <v>10422100</v>
          </cell>
          <cell r="B82" t="str">
            <v>imgs/dsai/7/010.jpg</v>
          </cell>
          <cell r="C82">
            <v>5</v>
          </cell>
        </row>
        <row r="83">
          <cell r="A83">
            <v>10422101</v>
          </cell>
          <cell r="B83" t="str">
            <v>imgs/dsai/5/016.jpg</v>
          </cell>
          <cell r="C83">
            <v>7.25</v>
          </cell>
        </row>
        <row r="84">
          <cell r="A84">
            <v>10422103</v>
          </cell>
          <cell r="B84" t="str">
            <v>imgs/dsai/6/016.jpg</v>
          </cell>
          <cell r="C84">
            <v>5.25</v>
          </cell>
        </row>
        <row r="85">
          <cell r="A85">
            <v>10422105</v>
          </cell>
          <cell r="B85" t="str">
            <v>imgs/dsai/5/014.jpg</v>
          </cell>
          <cell r="C85">
            <v>7</v>
          </cell>
        </row>
        <row r="86">
          <cell r="A86">
            <v>10422106</v>
          </cell>
          <cell r="B86" t="str">
            <v>imgs/dsai/5/010.jpg</v>
          </cell>
          <cell r="C86">
            <v>5.5</v>
          </cell>
        </row>
        <row r="87">
          <cell r="A87">
            <v>10422108</v>
          </cell>
          <cell r="B87" t="str">
            <v>imgs/dsai/3/018.jpg</v>
          </cell>
          <cell r="C87">
            <v>7.75</v>
          </cell>
        </row>
        <row r="88">
          <cell r="A88">
            <v>10422109</v>
          </cell>
          <cell r="B88" t="str">
            <v>imgs/dsai/4/018.jpg</v>
          </cell>
          <cell r="C88">
            <v>6.25</v>
          </cell>
        </row>
        <row r="89">
          <cell r="A89">
            <v>10422110</v>
          </cell>
          <cell r="B89" t="str">
            <v>imgs/dsai/4/006.jpg</v>
          </cell>
          <cell r="C89">
            <v>7.5</v>
          </cell>
        </row>
        <row r="90">
          <cell r="A90">
            <v>10422111</v>
          </cell>
          <cell r="B90" t="str">
            <v>imgs/dsai/4/008.jpg</v>
          </cell>
          <cell r="C90">
            <v>7</v>
          </cell>
        </row>
        <row r="91">
          <cell r="A91">
            <v>10422112</v>
          </cell>
          <cell r="B91" t="str">
            <v>imgs/dsai/3/022.jpg</v>
          </cell>
          <cell r="C91">
            <v>4</v>
          </cell>
        </row>
        <row r="92">
          <cell r="A92">
            <v>10422113</v>
          </cell>
          <cell r="B92" t="str">
            <v>imgs/dsai/3/010.jpg</v>
          </cell>
          <cell r="C92">
            <v>8</v>
          </cell>
        </row>
        <row r="93">
          <cell r="A93">
            <v>10422114</v>
          </cell>
          <cell r="B93" t="str">
            <v>imgs/dsai/2/016.jpg</v>
          </cell>
          <cell r="C93">
            <v>5</v>
          </cell>
        </row>
        <row r="94">
          <cell r="A94">
            <v>10422117</v>
          </cell>
          <cell r="B94" t="str">
            <v>imgs/dsai/1/012.jpg</v>
          </cell>
          <cell r="C94">
            <v>5.5</v>
          </cell>
        </row>
        <row r="95">
          <cell r="A95">
            <v>10422118</v>
          </cell>
          <cell r="B95" t="str">
            <v>imgs/dsai/1/006.jpg</v>
          </cell>
          <cell r="C95">
            <v>7.5</v>
          </cell>
        </row>
        <row r="96">
          <cell r="A96">
            <v>10422119</v>
          </cell>
          <cell r="B96" t="str">
            <v>imgs/dsai/2/008.jpg</v>
          </cell>
          <cell r="C96">
            <v>5</v>
          </cell>
        </row>
        <row r="97">
          <cell r="A97">
            <v>10422120</v>
          </cell>
          <cell r="B97" t="str">
            <v>imgs/dsai/1/024.jpg</v>
          </cell>
          <cell r="C97">
            <v>5.5</v>
          </cell>
        </row>
        <row r="98">
          <cell r="A98">
            <v>10422121</v>
          </cell>
          <cell r="B98" t="str">
            <v>imgs/dsai/1/004.jpg</v>
          </cell>
          <cell r="C98">
            <v>5.75</v>
          </cell>
        </row>
        <row r="99">
          <cell r="A99">
            <v>10422122</v>
          </cell>
          <cell r="B99" t="str">
            <v>imgs/dsai/2/012.jpg</v>
          </cell>
          <cell r="C99">
            <v>8.25</v>
          </cell>
        </row>
        <row r="100">
          <cell r="A100">
            <v>10422123</v>
          </cell>
          <cell r="B100" t="str">
            <v>imgs/dsai/9/006.jpg</v>
          </cell>
          <cell r="C100">
            <v>6.25</v>
          </cell>
        </row>
        <row r="101">
          <cell r="A101">
            <v>10422124</v>
          </cell>
          <cell r="B101" t="str">
            <v>imgs/dsai/1/002.jpg</v>
          </cell>
          <cell r="C101">
            <v>6.5</v>
          </cell>
        </row>
        <row r="102">
          <cell r="A102">
            <v>10421015</v>
          </cell>
          <cell r="B102" t="str">
            <v>imgs/dsai/7/020.jpg</v>
          </cell>
          <cell r="C102">
            <v>5.75</v>
          </cell>
        </row>
        <row r="103">
          <cell r="A103">
            <v>10421026</v>
          </cell>
          <cell r="B103" t="str">
            <v>imgs/dsai/5/018.jpg</v>
          </cell>
          <cell r="C103">
            <v>7.25</v>
          </cell>
        </row>
        <row r="104">
          <cell r="A104">
            <v>10421053</v>
          </cell>
          <cell r="B104" t="str">
            <v>imgs/dsai/1/008.jpg</v>
          </cell>
          <cell r="C104">
            <v>7.75</v>
          </cell>
        </row>
        <row r="105">
          <cell r="A105">
            <v>10421067</v>
          </cell>
          <cell r="B105" t="str">
            <v>imgs/dsai/1/014.jpg</v>
          </cell>
          <cell r="C105">
            <v>5</v>
          </cell>
        </row>
        <row r="106">
          <cell r="A106">
            <v>10421069</v>
          </cell>
          <cell r="B106" t="str">
            <v>imgs/dsai/10/016.jpg</v>
          </cell>
          <cell r="C106">
            <v>6.5</v>
          </cell>
        </row>
        <row r="107">
          <cell r="A107">
            <v>10421098</v>
          </cell>
          <cell r="B107" t="str">
            <v>imgs/dsai/3/014.jpg</v>
          </cell>
          <cell r="C107">
            <v>7.75</v>
          </cell>
        </row>
        <row r="108">
          <cell r="A108">
            <v>10421102</v>
          </cell>
          <cell r="B108" t="str">
            <v>imgs/dsai/3/016.jpg</v>
          </cell>
          <cell r="C108">
            <v>8.25</v>
          </cell>
        </row>
        <row r="109">
          <cell r="A109">
            <v>10421124</v>
          </cell>
          <cell r="B109" t="str">
            <v>imgs/dsai/2/018.jpg</v>
          </cell>
          <cell r="C109">
            <v>4.5</v>
          </cell>
        </row>
        <row r="110">
          <cell r="A110">
            <v>10421125</v>
          </cell>
          <cell r="B110" t="str">
            <v>imgs/dsai/10/022.jpg</v>
          </cell>
          <cell r="C110">
            <v>6.25</v>
          </cell>
        </row>
        <row r="111">
          <cell r="A111">
            <v>10421127</v>
          </cell>
          <cell r="B111" t="str">
            <v>imgs/dsai/9/020.jpg</v>
          </cell>
          <cell r="C111">
            <v>7</v>
          </cell>
        </row>
        <row r="112">
          <cell r="A112">
            <v>10421133</v>
          </cell>
          <cell r="B112" t="str">
            <v>imgs/dsai/10/010.jpg</v>
          </cell>
          <cell r="C112">
            <v>0.25</v>
          </cell>
        </row>
        <row r="113">
          <cell r="A113">
            <v>17417</v>
          </cell>
          <cell r="B113" t="str">
            <v>imgs/dsai/8/020.jpg</v>
          </cell>
          <cell r="C113">
            <v>3.75</v>
          </cell>
        </row>
        <row r="114">
          <cell r="A114">
            <v>10222025</v>
          </cell>
          <cell r="B114" t="str">
            <v>imgs/dsai/3/012.jpg</v>
          </cell>
          <cell r="C114">
            <v>6</v>
          </cell>
        </row>
        <row r="115">
          <cell r="A115">
            <v>10222040</v>
          </cell>
          <cell r="B115" t="str">
            <v>imgs/dsai/10/002.jpg</v>
          </cell>
          <cell r="C115">
            <v>4.25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9"/>
  <sheetViews>
    <sheetView tabSelected="1" workbookViewId="0">
      <selection activeCell="F2" sqref="F2"/>
    </sheetView>
  </sheetViews>
  <sheetFormatPr defaultRowHeight="14.4"/>
  <sheetData>
    <row r="1" spans="1:19" ht="7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27" t="s">
        <v>349</v>
      </c>
      <c r="P1" s="4" t="s">
        <v>7</v>
      </c>
      <c r="Q1" s="4" t="s">
        <v>14</v>
      </c>
      <c r="R1" s="5" t="s">
        <v>350</v>
      </c>
      <c r="S1" s="5" t="s">
        <v>351</v>
      </c>
    </row>
    <row r="2" spans="1:19" ht="15.6">
      <c r="A2" s="6">
        <v>1</v>
      </c>
      <c r="B2" s="7" t="s">
        <v>15</v>
      </c>
      <c r="C2" s="7">
        <v>10421133</v>
      </c>
      <c r="D2" s="7" t="s">
        <v>16</v>
      </c>
      <c r="E2" s="7" t="s">
        <v>17</v>
      </c>
      <c r="F2" s="6">
        <v>1</v>
      </c>
      <c r="G2" s="7" t="s">
        <v>18</v>
      </c>
      <c r="H2" s="7">
        <v>5</v>
      </c>
      <c r="I2" s="7"/>
      <c r="J2" s="8">
        <f>VLOOKUP(C2,[1]Lab!$C$9:$I$126, 6, FALSE)</f>
        <v>10</v>
      </c>
      <c r="K2" s="8">
        <f>VLOOKUP(C2,[1]Lab!$C$9:$I$126, 7, FALSE)</f>
        <v>10</v>
      </c>
      <c r="L2" s="5">
        <f>_xlfn.IFNA(VLOOKUP(C2, [1]exam!$A$2:$C$115,3,FALSE),0)</f>
        <v>0.25</v>
      </c>
      <c r="M2" s="9"/>
      <c r="N2" s="9"/>
      <c r="O2">
        <f>SUM(L2,N2)</f>
        <v>0.25</v>
      </c>
      <c r="P2" s="5">
        <f>J2*0.1+K2*0.1+MIN((L2+N2),10)*0.4+M2*0.4</f>
        <v>2.1</v>
      </c>
      <c r="Q2" s="10">
        <f>IF(P2*10&lt;50,5,ROUND(3*((100-P2*10)/50)+1,1))</f>
        <v>5</v>
      </c>
      <c r="R2" s="10">
        <f>IF(Q2&gt;4,5,IF((Q2-TRUNC(Q2))&lt;0.3,TRUNC(Q2),IF((Q2-TRUNC(Q2))&gt;=0.7,TRUNC(Q2)+0.7,TRUNC(Q2)+0.3)))</f>
        <v>5</v>
      </c>
      <c r="S2" s="4" t="s">
        <v>19</v>
      </c>
    </row>
    <row r="3" spans="1:19" ht="15.6">
      <c r="A3" s="6">
        <v>2</v>
      </c>
      <c r="B3" s="7" t="s">
        <v>15</v>
      </c>
      <c r="C3" s="7">
        <v>10421127</v>
      </c>
      <c r="D3" s="7" t="s">
        <v>20</v>
      </c>
      <c r="E3" s="7" t="s">
        <v>21</v>
      </c>
      <c r="F3" s="6">
        <v>1</v>
      </c>
      <c r="G3" s="7" t="s">
        <v>22</v>
      </c>
      <c r="H3" s="7">
        <v>1.3</v>
      </c>
      <c r="I3" s="7"/>
      <c r="J3" s="8">
        <f>VLOOKUP(C3,[1]Lab!$C$9:$I$126, 6, FALSE)</f>
        <v>10</v>
      </c>
      <c r="K3" s="8">
        <f>VLOOKUP(C3,[1]Lab!$C$9:$I$126, 7, FALSE)</f>
        <v>10</v>
      </c>
      <c r="L3" s="5">
        <f>_xlfn.IFNA(VLOOKUP(C3, [1]exam!$A$2:$C$115,3,FALSE),0)</f>
        <v>7</v>
      </c>
      <c r="M3" s="4">
        <v>10</v>
      </c>
      <c r="N3" s="4">
        <v>1</v>
      </c>
      <c r="O3">
        <f t="shared" ref="O3:O66" si="0">SUM(L3,N3)</f>
        <v>8</v>
      </c>
      <c r="P3" s="5">
        <f>J3*0.1+K3*0.1+MIN((L3+N3),10)*0.4+M3*0.4</f>
        <v>9.1999999999999993</v>
      </c>
      <c r="Q3" s="10">
        <f>IF(P3*10&lt;50,5,ROUND(3*((100-P3*10)/50)+1,1))</f>
        <v>1.5</v>
      </c>
      <c r="R3" s="10">
        <f>IF(Q3&gt;4,5,IF((Q3-TRUNC(Q3))&lt;0.3,TRUNC(Q3),IF((Q3-TRUNC(Q3))&gt;=0.7,TRUNC(Q3)+0.7,TRUNC(Q3)+0.3)))</f>
        <v>1.3</v>
      </c>
      <c r="S3" s="5"/>
    </row>
    <row r="4" spans="1:19" ht="15.6">
      <c r="A4" s="6">
        <v>3</v>
      </c>
      <c r="B4" s="7" t="s">
        <v>23</v>
      </c>
      <c r="C4" s="7">
        <v>10422002</v>
      </c>
      <c r="D4" s="7" t="s">
        <v>24</v>
      </c>
      <c r="E4" s="7" t="s">
        <v>25</v>
      </c>
      <c r="F4" s="6">
        <v>1</v>
      </c>
      <c r="G4" s="7" t="s">
        <v>26</v>
      </c>
      <c r="H4" s="7">
        <v>2.2999999999999998</v>
      </c>
      <c r="I4" s="7"/>
      <c r="J4" s="8">
        <f>VLOOKUP(C4,[1]Lab!$C$9:$I$126, 6, FALSE)</f>
        <v>0</v>
      </c>
      <c r="K4" s="8">
        <f>VLOOKUP(C4,[1]Lab!$C$9:$I$126, 7, FALSE)</f>
        <v>10</v>
      </c>
      <c r="L4" s="5">
        <f>_xlfn.IFNA(VLOOKUP(C4, [1]exam!$A$2:$C$115,3,FALSE),0)</f>
        <v>7.25</v>
      </c>
      <c r="M4" s="4">
        <v>10</v>
      </c>
      <c r="N4" s="4">
        <v>0</v>
      </c>
      <c r="O4">
        <f t="shared" si="0"/>
        <v>7.25</v>
      </c>
      <c r="P4" s="5">
        <f>J4*0.1+K4*0.1+MIN((L4+N4),10)*0.4+M4*0.4</f>
        <v>7.9</v>
      </c>
      <c r="Q4" s="10">
        <f>IF(P4*10&lt;50,5,ROUND(3*((100-P4*10)/50)+1,1))</f>
        <v>2.2999999999999998</v>
      </c>
      <c r="R4" s="10">
        <f>IF(Q4&gt;4,5,IF((Q4-TRUNC(Q4))&lt;0.3,TRUNC(Q4),IF((Q4-TRUNC(Q4))&gt;=0.7,TRUNC(Q4)+0.7,TRUNC(Q4)+0.3)))</f>
        <v>2.2999999999999998</v>
      </c>
      <c r="S4" s="5"/>
    </row>
    <row r="5" spans="1:19" ht="15.6">
      <c r="A5" s="6">
        <v>4</v>
      </c>
      <c r="B5" s="7" t="s">
        <v>23</v>
      </c>
      <c r="C5" s="7">
        <v>10422003</v>
      </c>
      <c r="D5" s="7" t="s">
        <v>27</v>
      </c>
      <c r="E5" s="7" t="s">
        <v>25</v>
      </c>
      <c r="F5" s="6">
        <v>1</v>
      </c>
      <c r="G5" s="7" t="s">
        <v>28</v>
      </c>
      <c r="H5" s="7">
        <v>4</v>
      </c>
      <c r="I5" s="7"/>
      <c r="J5" s="8">
        <f>VLOOKUP(C5,[1]Lab!$C$9:$I$126, 6, FALSE)</f>
        <v>10</v>
      </c>
      <c r="K5" s="8">
        <f>VLOOKUP(C5,[1]Lab!$C$9:$I$126, 7, FALSE)</f>
        <v>10</v>
      </c>
      <c r="L5" s="5">
        <f>_xlfn.IFNA(VLOOKUP(C5, [1]exam!$A$2:$C$115,3,FALSE),0)</f>
        <v>5.5</v>
      </c>
      <c r="M5" s="4">
        <v>2</v>
      </c>
      <c r="N5" s="5"/>
      <c r="O5">
        <f t="shared" si="0"/>
        <v>5.5</v>
      </c>
      <c r="P5" s="5">
        <f>J5*0.1+K5*0.1+MIN((L5+N5),10)*0.4+M5*0.4</f>
        <v>5</v>
      </c>
      <c r="Q5" s="10">
        <f>IF(P5*10&lt;50,5,ROUND(3*((100-P5*10)/50)+1,1))</f>
        <v>4</v>
      </c>
      <c r="R5" s="10">
        <f>IF(Q5&gt;4,5,IF((Q5-TRUNC(Q5))&lt;0.3,TRUNC(Q5),IF((Q5-TRUNC(Q5))&gt;=0.7,TRUNC(Q5)+0.7,TRUNC(Q5)+0.3)))</f>
        <v>4</v>
      </c>
      <c r="S5" s="5"/>
    </row>
    <row r="6" spans="1:19" ht="15.6">
      <c r="A6" s="6">
        <v>5</v>
      </c>
      <c r="B6" s="7" t="s">
        <v>23</v>
      </c>
      <c r="C6" s="7">
        <v>10422004</v>
      </c>
      <c r="D6" s="7" t="s">
        <v>29</v>
      </c>
      <c r="E6" s="7" t="s">
        <v>25</v>
      </c>
      <c r="F6" s="6">
        <v>1</v>
      </c>
      <c r="G6" s="7" t="s">
        <v>30</v>
      </c>
      <c r="H6" s="7">
        <v>1</v>
      </c>
      <c r="I6" s="7"/>
      <c r="J6" s="8">
        <f>VLOOKUP(C6,[1]Lab!$C$9:$I$126, 6, FALSE)</f>
        <v>10</v>
      </c>
      <c r="K6" s="8">
        <f>VLOOKUP(C6,[1]Lab!$C$9:$I$126, 7, FALSE)</f>
        <v>10</v>
      </c>
      <c r="L6" s="5">
        <f>_xlfn.IFNA(VLOOKUP(C6, [1]exam!$A$2:$C$115,3,FALSE),0)</f>
        <v>9</v>
      </c>
      <c r="M6" s="4">
        <v>10</v>
      </c>
      <c r="N6" s="4">
        <v>1</v>
      </c>
      <c r="O6">
        <f t="shared" si="0"/>
        <v>10</v>
      </c>
      <c r="P6" s="5">
        <f>J6*0.1+K6*0.1+MIN((L6+N6),10)*0.4+M6*0.4</f>
        <v>10</v>
      </c>
      <c r="Q6" s="10">
        <f>IF(P6*10&lt;50,5,ROUND(3*((100-P6*10)/50)+1,1))</f>
        <v>1</v>
      </c>
      <c r="R6" s="10">
        <f>IF(Q6&gt;4,5,IF((Q6-TRUNC(Q6))&lt;0.3,TRUNC(Q6),IF((Q6-TRUNC(Q6))&gt;=0.7,TRUNC(Q6)+0.7,TRUNC(Q6)+0.3)))</f>
        <v>1</v>
      </c>
      <c r="S6" s="5"/>
    </row>
    <row r="7" spans="1:19" ht="15.6">
      <c r="A7" s="6">
        <v>6</v>
      </c>
      <c r="B7" s="7" t="s">
        <v>23</v>
      </c>
      <c r="C7" s="7">
        <v>10222040</v>
      </c>
      <c r="D7" s="7" t="s">
        <v>31</v>
      </c>
      <c r="E7" s="7" t="s">
        <v>32</v>
      </c>
      <c r="F7" s="6">
        <v>1</v>
      </c>
      <c r="G7" s="7" t="s">
        <v>33</v>
      </c>
      <c r="H7" s="7">
        <v>5</v>
      </c>
      <c r="I7" s="7"/>
      <c r="J7" s="8">
        <f>VLOOKUP(C7,[1]Lab!$C$9:$I$126, 6, FALSE)</f>
        <v>0</v>
      </c>
      <c r="K7" s="8">
        <f>VLOOKUP(C7,[1]Lab!$C$9:$I$126, 7, FALSE)</f>
        <v>10</v>
      </c>
      <c r="L7" s="5">
        <f>_xlfn.IFNA(VLOOKUP(C7, [1]exam!$A$2:$C$115,3,FALSE),0)</f>
        <v>4.25</v>
      </c>
      <c r="M7" s="11"/>
      <c r="N7" s="11"/>
      <c r="O7">
        <f t="shared" si="0"/>
        <v>4.25</v>
      </c>
      <c r="P7" s="5">
        <f>J7*0.1+K7*0.1+MIN((L7+N7),10)*0.4+M7*0.4</f>
        <v>2.7</v>
      </c>
      <c r="Q7" s="10">
        <f>IF(P7*10&lt;50,5,ROUND(3*((100-P7*10)/50)+1,1))</f>
        <v>5</v>
      </c>
      <c r="R7" s="10">
        <f>IF(Q7&gt;4,5,IF((Q7-TRUNC(Q7))&lt;0.3,TRUNC(Q7),IF((Q7-TRUNC(Q7))&gt;=0.7,TRUNC(Q7)+0.7,TRUNC(Q7)+0.3)))</f>
        <v>5</v>
      </c>
      <c r="S7" s="4" t="s">
        <v>34</v>
      </c>
    </row>
    <row r="8" spans="1:19" ht="15.6">
      <c r="A8" s="6">
        <v>7</v>
      </c>
      <c r="B8" s="7" t="s">
        <v>23</v>
      </c>
      <c r="C8" s="7">
        <v>10422005</v>
      </c>
      <c r="D8" s="7" t="s">
        <v>35</v>
      </c>
      <c r="E8" s="7" t="s">
        <v>32</v>
      </c>
      <c r="F8" s="6">
        <v>1</v>
      </c>
      <c r="G8" s="7" t="s">
        <v>36</v>
      </c>
      <c r="H8" s="7">
        <v>1.7</v>
      </c>
      <c r="I8" s="7"/>
      <c r="J8" s="8">
        <f>VLOOKUP(C8,[1]Lab!$C$9:$I$126, 6, FALSE)</f>
        <v>0</v>
      </c>
      <c r="K8" s="8">
        <f>VLOOKUP(C8,[1]Lab!$C$9:$I$126, 7, FALSE)</f>
        <v>10</v>
      </c>
      <c r="L8" s="5">
        <f>_xlfn.IFNA(VLOOKUP(C8, [1]exam!$A$2:$C$115,3,FALSE),0)</f>
        <v>8</v>
      </c>
      <c r="M8" s="4">
        <v>10</v>
      </c>
      <c r="N8" s="4">
        <v>1</v>
      </c>
      <c r="O8">
        <f t="shared" si="0"/>
        <v>9</v>
      </c>
      <c r="P8" s="5">
        <f>J8*0.1+K8*0.1+MIN((L8+N8),10)*0.4+M8*0.4</f>
        <v>8.6</v>
      </c>
      <c r="Q8" s="10">
        <f>IF(P8*10&lt;50,5,ROUND(3*((100-P8*10)/50)+1,1))</f>
        <v>1.8</v>
      </c>
      <c r="R8" s="10">
        <f>IF(Q8&gt;4,5,IF((Q8-TRUNC(Q8))&lt;0.3,TRUNC(Q8),IF((Q8-TRUNC(Q8))&gt;=0.7,TRUNC(Q8)+0.7,TRUNC(Q8)+0.3)))</f>
        <v>1.7</v>
      </c>
      <c r="S8" s="5"/>
    </row>
    <row r="9" spans="1:19" ht="15.6">
      <c r="A9" s="6">
        <v>8</v>
      </c>
      <c r="B9" s="7" t="s">
        <v>23</v>
      </c>
      <c r="C9" s="7">
        <v>10422006</v>
      </c>
      <c r="D9" s="7" t="s">
        <v>37</v>
      </c>
      <c r="E9" s="7" t="s">
        <v>32</v>
      </c>
      <c r="F9" s="6">
        <v>1</v>
      </c>
      <c r="G9" s="7" t="s">
        <v>38</v>
      </c>
      <c r="H9" s="7">
        <v>2</v>
      </c>
      <c r="I9" s="7"/>
      <c r="J9" s="8">
        <f>VLOOKUP(C9,[1]Lab!$C$9:$I$126, 6, FALSE)</f>
        <v>10</v>
      </c>
      <c r="K9" s="8">
        <f>VLOOKUP(C9,[1]Lab!$C$9:$I$126, 7, FALSE)</f>
        <v>10</v>
      </c>
      <c r="L9" s="5">
        <f>_xlfn.IFNA(VLOOKUP(C9, [1]exam!$A$2:$C$115,3,FALSE),0)</f>
        <v>4.75</v>
      </c>
      <c r="M9" s="4">
        <v>10</v>
      </c>
      <c r="N9" s="4">
        <v>1</v>
      </c>
      <c r="O9">
        <f t="shared" si="0"/>
        <v>5.75</v>
      </c>
      <c r="P9" s="5">
        <f>J9*0.1+K9*0.1+MIN((L9+N9),10)*0.4+M9*0.4</f>
        <v>8.3000000000000007</v>
      </c>
      <c r="Q9" s="10">
        <f>IF(P9*10&lt;50,5,ROUND(3*((100-P9*10)/50)+1,1))</f>
        <v>2</v>
      </c>
      <c r="R9" s="10">
        <f>IF(Q9&gt;4,5,IF((Q9-TRUNC(Q9))&lt;0.3,TRUNC(Q9),IF((Q9-TRUNC(Q9))&gt;=0.7,TRUNC(Q9)+0.7,TRUNC(Q9)+0.3)))</f>
        <v>2</v>
      </c>
      <c r="S9" s="5"/>
    </row>
    <row r="10" spans="1:19" ht="15.6">
      <c r="A10" s="6">
        <v>9</v>
      </c>
      <c r="B10" s="7" t="s">
        <v>23</v>
      </c>
      <c r="C10" s="7">
        <v>10422009</v>
      </c>
      <c r="D10" s="7" t="s">
        <v>39</v>
      </c>
      <c r="E10" s="7" t="s">
        <v>32</v>
      </c>
      <c r="F10" s="6">
        <v>1</v>
      </c>
      <c r="G10" s="7" t="s">
        <v>40</v>
      </c>
      <c r="H10" s="7">
        <v>2</v>
      </c>
      <c r="I10" s="7"/>
      <c r="J10" s="8">
        <f>VLOOKUP(C10,[1]Lab!$C$9:$I$126, 6, FALSE)</f>
        <v>8</v>
      </c>
      <c r="K10" s="8">
        <f>VLOOKUP(C10,[1]Lab!$C$9:$I$126, 7, FALSE)</f>
        <v>10</v>
      </c>
      <c r="L10" s="5">
        <f>_xlfn.IFNA(VLOOKUP(C10, [1]exam!$A$2:$C$115,3,FALSE),0)</f>
        <v>5.5</v>
      </c>
      <c r="M10" s="4">
        <v>10</v>
      </c>
      <c r="N10" s="4">
        <v>1</v>
      </c>
      <c r="O10">
        <f t="shared" si="0"/>
        <v>6.5</v>
      </c>
      <c r="P10" s="5">
        <f>J10*0.1+K10*0.1+MIN((L10+N10),10)*0.4+M10*0.4</f>
        <v>8.4</v>
      </c>
      <c r="Q10" s="10">
        <f>IF(P10*10&lt;50,5,ROUND(3*((100-P10*10)/50)+1,1))</f>
        <v>2</v>
      </c>
      <c r="R10" s="10">
        <f>IF(Q10&gt;4,5,IF((Q10-TRUNC(Q10))&lt;0.3,TRUNC(Q10),IF((Q10-TRUNC(Q10))&gt;=0.7,TRUNC(Q10)+0.7,TRUNC(Q10)+0.3)))</f>
        <v>2</v>
      </c>
      <c r="S10" s="5"/>
    </row>
    <row r="11" spans="1:19" ht="15.6">
      <c r="A11" s="6">
        <v>10</v>
      </c>
      <c r="B11" s="12" t="s">
        <v>23</v>
      </c>
      <c r="C11" s="12">
        <v>10422086</v>
      </c>
      <c r="D11" s="12" t="s">
        <v>41</v>
      </c>
      <c r="E11" s="12" t="s">
        <v>32</v>
      </c>
      <c r="F11" s="13">
        <v>1</v>
      </c>
      <c r="G11" s="12" t="s">
        <v>42</v>
      </c>
      <c r="H11" s="7">
        <v>1.3</v>
      </c>
      <c r="I11" s="12"/>
      <c r="J11" s="8">
        <f>VLOOKUP(C11,[1]Lab!$C$9:$I$126, 6, FALSE)</f>
        <v>10</v>
      </c>
      <c r="K11" s="8">
        <f>VLOOKUP(C11,[1]Lab!$C$9:$I$126, 7, FALSE)</f>
        <v>10</v>
      </c>
      <c r="L11" s="5">
        <f>_xlfn.IFNA(VLOOKUP(C11, [1]exam!$A$2:$C$115,3,FALSE),0)</f>
        <v>7.75</v>
      </c>
      <c r="M11" s="4">
        <v>10</v>
      </c>
      <c r="N11" s="4">
        <v>1</v>
      </c>
      <c r="O11">
        <f t="shared" si="0"/>
        <v>8.75</v>
      </c>
      <c r="P11" s="5">
        <f>J11*0.1+K11*0.1+MIN((L11+N11),10)*0.4+M11*0.4</f>
        <v>9.5</v>
      </c>
      <c r="Q11" s="10">
        <f>IF(P11*10&lt;50,5,ROUND(3*((100-P11*10)/50)+1,1))</f>
        <v>1.3</v>
      </c>
      <c r="R11" s="10">
        <f>IF(Q11&gt;4,5,IF((Q11-TRUNC(Q11))&lt;0.3,TRUNC(Q11),IF((Q11-TRUNC(Q11))&gt;=0.7,TRUNC(Q11)+0.7,TRUNC(Q11)+0.3)))</f>
        <v>1.3</v>
      </c>
      <c r="S11" s="4" t="s">
        <v>43</v>
      </c>
    </row>
    <row r="12" spans="1:19" ht="15.6">
      <c r="A12" s="6">
        <v>11</v>
      </c>
      <c r="B12" s="7" t="s">
        <v>23</v>
      </c>
      <c r="C12" s="7">
        <v>10422087</v>
      </c>
      <c r="D12" s="7" t="s">
        <v>44</v>
      </c>
      <c r="E12" s="7" t="s">
        <v>45</v>
      </c>
      <c r="F12" s="6">
        <v>1</v>
      </c>
      <c r="G12" s="7" t="s">
        <v>46</v>
      </c>
      <c r="H12" s="7">
        <v>1.3</v>
      </c>
      <c r="I12" s="7"/>
      <c r="J12" s="8">
        <f>VLOOKUP(C12,[1]Lab!$C$9:$I$126, 6, FALSE)</f>
        <v>10</v>
      </c>
      <c r="K12" s="8">
        <f>VLOOKUP(C12,[1]Lab!$C$9:$I$126, 7, FALSE)</f>
        <v>10</v>
      </c>
      <c r="L12" s="5">
        <f>_xlfn.IFNA(VLOOKUP(C12, [1]exam!$A$2:$C$115,3,FALSE),0)</f>
        <v>6.75</v>
      </c>
      <c r="M12" s="4">
        <v>10</v>
      </c>
      <c r="N12" s="4">
        <v>1</v>
      </c>
      <c r="O12">
        <f t="shared" si="0"/>
        <v>7.75</v>
      </c>
      <c r="P12" s="5">
        <f>J12*0.1+K12*0.1+MIN((L12+N12),10)*0.4+M12*0.4</f>
        <v>9.1</v>
      </c>
      <c r="Q12" s="10">
        <f>IF(P12*10&lt;50,5,ROUND(3*((100-P12*10)/50)+1,1))</f>
        <v>1.5</v>
      </c>
      <c r="R12" s="10">
        <f>IF(Q12&gt;4,5,IF((Q12-TRUNC(Q12))&lt;0.3,TRUNC(Q12),IF((Q12-TRUNC(Q12))&gt;=0.7,TRUNC(Q12)+0.7,TRUNC(Q12)+0.3)))</f>
        <v>1.3</v>
      </c>
      <c r="S12" s="5"/>
    </row>
    <row r="13" spans="1:19" ht="15.6">
      <c r="A13" s="6">
        <v>12</v>
      </c>
      <c r="B13" s="14" t="s">
        <v>23</v>
      </c>
      <c r="C13" s="14">
        <v>10421069</v>
      </c>
      <c r="D13" s="14" t="s">
        <v>47</v>
      </c>
      <c r="E13" s="14" t="s">
        <v>48</v>
      </c>
      <c r="F13" s="15">
        <v>1</v>
      </c>
      <c r="G13" s="14" t="s">
        <v>49</v>
      </c>
      <c r="H13" s="7">
        <v>5</v>
      </c>
      <c r="I13" s="14"/>
      <c r="J13" s="8">
        <f>VLOOKUP(C13,[1]Lab!$C$9:$I$126, 6, FALSE)</f>
        <v>0</v>
      </c>
      <c r="K13" s="8">
        <f>VLOOKUP(C13,[1]Lab!$C$9:$I$126, 7, FALSE)</f>
        <v>10</v>
      </c>
      <c r="L13" s="5">
        <f>_xlfn.IFNA(VLOOKUP(C13, [1]exam!$A$2:$C$115,3,FALSE),0)</f>
        <v>6.5</v>
      </c>
      <c r="M13" s="9"/>
      <c r="N13" s="9"/>
      <c r="O13">
        <f t="shared" si="0"/>
        <v>6.5</v>
      </c>
      <c r="P13" s="5">
        <f>J13*0.1+K13*0.1+MIN((L13+N13),10)*0.4+M13*0.4</f>
        <v>3.6</v>
      </c>
      <c r="Q13" s="10">
        <f>IF(P13*10&lt;50,5,ROUND(3*((100-P13*10)/50)+1,1))</f>
        <v>5</v>
      </c>
      <c r="R13" s="10">
        <f>IF(Q13&gt;4,5,IF((Q13-TRUNC(Q13))&lt;0.3,TRUNC(Q13),IF((Q13-TRUNC(Q13))&gt;=0.7,TRUNC(Q13)+0.7,TRUNC(Q13)+0.3)))</f>
        <v>5</v>
      </c>
      <c r="S13" s="5"/>
    </row>
    <row r="14" spans="1:19" ht="15.6">
      <c r="A14" s="6">
        <v>13</v>
      </c>
      <c r="B14" s="7" t="s">
        <v>23</v>
      </c>
      <c r="C14" s="7">
        <v>10421125</v>
      </c>
      <c r="D14" s="7" t="s">
        <v>50</v>
      </c>
      <c r="E14" s="7" t="s">
        <v>48</v>
      </c>
      <c r="F14" s="6">
        <v>1</v>
      </c>
      <c r="G14" s="7" t="s">
        <v>51</v>
      </c>
      <c r="H14" s="7">
        <v>5</v>
      </c>
      <c r="I14" s="7"/>
      <c r="J14" s="8">
        <f>VLOOKUP(C14,[1]Lab!$C$9:$I$126, 6, FALSE)</f>
        <v>0</v>
      </c>
      <c r="K14" s="8">
        <f>VLOOKUP(C14,[1]Lab!$C$9:$I$126, 7, FALSE)</f>
        <v>10</v>
      </c>
      <c r="L14" s="5">
        <f>_xlfn.IFNA(VLOOKUP(C14, [1]exam!$A$2:$C$115,3,FALSE),0)</f>
        <v>6.25</v>
      </c>
      <c r="M14" s="9"/>
      <c r="N14" s="9"/>
      <c r="O14">
        <f t="shared" si="0"/>
        <v>6.25</v>
      </c>
      <c r="P14" s="5">
        <f>J14*0.1+K14*0.1+MIN((L14+N14),10)*0.4+M14*0.4</f>
        <v>3.5</v>
      </c>
      <c r="Q14" s="10">
        <f>IF(P14*10&lt;50,5,ROUND(3*((100-P14*10)/50)+1,1))</f>
        <v>5</v>
      </c>
      <c r="R14" s="10">
        <f>IF(Q14&gt;4,5,IF((Q14-TRUNC(Q14))&lt;0.3,TRUNC(Q14),IF((Q14-TRUNC(Q14))&gt;=0.7,TRUNC(Q14)+0.7,TRUNC(Q14)+0.3)))</f>
        <v>5</v>
      </c>
      <c r="S14" s="5"/>
    </row>
    <row r="15" spans="1:19" ht="15.6">
      <c r="A15" s="6">
        <v>14</v>
      </c>
      <c r="B15" s="7" t="s">
        <v>23</v>
      </c>
      <c r="C15" s="7">
        <v>10422011</v>
      </c>
      <c r="D15" s="7" t="s">
        <v>52</v>
      </c>
      <c r="E15" s="7" t="s">
        <v>48</v>
      </c>
      <c r="F15" s="6">
        <v>1</v>
      </c>
      <c r="G15" s="7" t="s">
        <v>53</v>
      </c>
      <c r="H15" s="7">
        <v>1.3</v>
      </c>
      <c r="I15" s="7"/>
      <c r="J15" s="8">
        <f>VLOOKUP(C15,[1]Lab!$C$9:$I$126, 6, FALSE)</f>
        <v>10</v>
      </c>
      <c r="K15" s="8">
        <f>VLOOKUP(C15,[1]Lab!$C$9:$I$126, 7, FALSE)</f>
        <v>10</v>
      </c>
      <c r="L15" s="5">
        <f>_xlfn.IFNA(VLOOKUP(C15, [1]exam!$A$2:$C$115,3,FALSE),0)</f>
        <v>6.5</v>
      </c>
      <c r="M15" s="4">
        <v>10</v>
      </c>
      <c r="N15" s="4">
        <v>2</v>
      </c>
      <c r="O15">
        <f t="shared" si="0"/>
        <v>8.5</v>
      </c>
      <c r="P15" s="5">
        <f>J15*0.1+K15*0.1+MIN((L15+N15),10)*0.4+M15*0.4</f>
        <v>9.4</v>
      </c>
      <c r="Q15" s="10">
        <f>IF(P15*10&lt;50,5,ROUND(3*((100-P15*10)/50)+1,1))</f>
        <v>1.4</v>
      </c>
      <c r="R15" s="10">
        <f>IF(Q15&gt;4,5,IF((Q15-TRUNC(Q15))&lt;0.3,TRUNC(Q15),IF((Q15-TRUNC(Q15))&gt;=0.7,TRUNC(Q15)+0.7,TRUNC(Q15)+0.3)))</f>
        <v>1.3</v>
      </c>
      <c r="S15" s="5"/>
    </row>
    <row r="16" spans="1:19" ht="15.6">
      <c r="A16" s="6">
        <v>15</v>
      </c>
      <c r="B16" s="7" t="s">
        <v>23</v>
      </c>
      <c r="C16" s="7">
        <v>10422012</v>
      </c>
      <c r="D16" s="7" t="s">
        <v>54</v>
      </c>
      <c r="E16" s="7" t="s">
        <v>48</v>
      </c>
      <c r="F16" s="6">
        <v>1</v>
      </c>
      <c r="G16" s="7" t="s">
        <v>55</v>
      </c>
      <c r="H16" s="7">
        <v>2.7</v>
      </c>
      <c r="I16" s="7"/>
      <c r="J16" s="8">
        <f>VLOOKUP(C16,[1]Lab!$C$9:$I$126, 6, FALSE)</f>
        <v>10</v>
      </c>
      <c r="K16" s="8">
        <f>VLOOKUP(C16,[1]Lab!$C$9:$I$126, 7, FALSE)</f>
        <v>10</v>
      </c>
      <c r="L16" s="5">
        <f>_xlfn.IFNA(VLOOKUP(C16, [1]exam!$A$2:$C$115,3,FALSE),0)</f>
        <v>7.5</v>
      </c>
      <c r="M16" s="4">
        <v>5</v>
      </c>
      <c r="N16" s="5"/>
      <c r="O16">
        <f t="shared" si="0"/>
        <v>7.5</v>
      </c>
      <c r="P16" s="5">
        <f>J16*0.1+K16*0.1+MIN((L16+N16),10)*0.4+M16*0.4</f>
        <v>7</v>
      </c>
      <c r="Q16" s="10">
        <f>IF(P16*10&lt;50,5,ROUND(3*((100-P16*10)/50)+1,1))</f>
        <v>2.8</v>
      </c>
      <c r="R16" s="10">
        <f>IF(Q16&gt;4,5,IF((Q16-TRUNC(Q16))&lt;0.3,TRUNC(Q16),IF((Q16-TRUNC(Q16))&gt;=0.7,TRUNC(Q16)+0.7,TRUNC(Q16)+0.3)))</f>
        <v>2.7</v>
      </c>
      <c r="S16" s="4"/>
    </row>
    <row r="17" spans="1:19" ht="15.6">
      <c r="A17" s="6">
        <v>16</v>
      </c>
      <c r="B17" s="7" t="s">
        <v>23</v>
      </c>
      <c r="C17" s="7">
        <v>10422013</v>
      </c>
      <c r="D17" s="7" t="s">
        <v>56</v>
      </c>
      <c r="E17" s="7" t="s">
        <v>48</v>
      </c>
      <c r="F17" s="6">
        <v>1</v>
      </c>
      <c r="G17" s="7" t="s">
        <v>57</v>
      </c>
      <c r="H17" s="7">
        <v>3.7</v>
      </c>
      <c r="I17" s="7"/>
      <c r="J17" s="8">
        <f>VLOOKUP(C17,[1]Lab!$C$9:$I$126, 6, FALSE)</f>
        <v>10</v>
      </c>
      <c r="K17" s="8">
        <f>VLOOKUP(C17,[1]Lab!$C$9:$I$126, 7, FALSE)</f>
        <v>10</v>
      </c>
      <c r="L17" s="5">
        <f>_xlfn.IFNA(VLOOKUP(C17, [1]exam!$A$2:$C$115,3,FALSE),0)</f>
        <v>7.75</v>
      </c>
      <c r="M17" s="9"/>
      <c r="N17" s="9"/>
      <c r="O17">
        <f t="shared" si="0"/>
        <v>7.75</v>
      </c>
      <c r="P17" s="5">
        <f>J17*0.1+K17*0.1+MIN((L17+N17),10)*0.4+M17*0.4</f>
        <v>5.0999999999999996</v>
      </c>
      <c r="Q17" s="10">
        <f>IF(P17*10&lt;50,5,ROUND(3*((100-P17*10)/50)+1,1))</f>
        <v>3.9</v>
      </c>
      <c r="R17" s="10">
        <f>IF(Q17&gt;4,5,IF((Q17-TRUNC(Q17))&lt;0.3,TRUNC(Q17),IF((Q17-TRUNC(Q17))&gt;=0.7,TRUNC(Q17)+0.7,TRUNC(Q17)+0.3)))</f>
        <v>3.7</v>
      </c>
      <c r="S17" s="5"/>
    </row>
    <row r="18" spans="1:19" ht="15.6">
      <c r="A18" s="6">
        <v>17</v>
      </c>
      <c r="B18" s="7" t="s">
        <v>23</v>
      </c>
      <c r="C18" s="7">
        <v>10422014</v>
      </c>
      <c r="D18" s="7" t="s">
        <v>58</v>
      </c>
      <c r="E18" s="7" t="s">
        <v>48</v>
      </c>
      <c r="F18" s="6">
        <v>1</v>
      </c>
      <c r="G18" s="7" t="s">
        <v>59</v>
      </c>
      <c r="H18" s="7">
        <v>2.7</v>
      </c>
      <c r="I18" s="7"/>
      <c r="J18" s="8">
        <f>VLOOKUP(C18,[1]Lab!$C$9:$I$126, 6, FALSE)</f>
        <v>0</v>
      </c>
      <c r="K18" s="8">
        <f>VLOOKUP(C18,[1]Lab!$C$9:$I$126, 7, FALSE)</f>
        <v>10</v>
      </c>
      <c r="L18" s="5">
        <f>_xlfn.IFNA(VLOOKUP(C18, [1]exam!$A$2:$C$115,3,FALSE),0)</f>
        <v>5.25</v>
      </c>
      <c r="M18" s="4">
        <v>10</v>
      </c>
      <c r="N18" s="5"/>
      <c r="O18">
        <f t="shared" si="0"/>
        <v>5.25</v>
      </c>
      <c r="P18" s="5">
        <f>J18*0.1+K18*0.1+MIN((L18+N18),10)*0.4+M18*0.4</f>
        <v>7.1</v>
      </c>
      <c r="Q18" s="10">
        <f>IF(P18*10&lt;50,5,ROUND(3*((100-P18*10)/50)+1,1))</f>
        <v>2.7</v>
      </c>
      <c r="R18" s="10">
        <f>IF(Q18&gt;4,5,IF((Q18-TRUNC(Q18))&lt;0.3,TRUNC(Q18),IF((Q18-TRUNC(Q18))&gt;=0.7,TRUNC(Q18)+0.7,TRUNC(Q18)+0.3)))</f>
        <v>2.7</v>
      </c>
      <c r="S18" s="5"/>
    </row>
    <row r="19" spans="1:19" ht="15.6">
      <c r="A19" s="6">
        <v>18</v>
      </c>
      <c r="B19" s="7" t="s">
        <v>23</v>
      </c>
      <c r="C19" s="7">
        <v>10422015</v>
      </c>
      <c r="D19" s="7" t="s">
        <v>60</v>
      </c>
      <c r="E19" s="7" t="s">
        <v>48</v>
      </c>
      <c r="F19" s="6">
        <v>1</v>
      </c>
      <c r="G19" s="7" t="s">
        <v>61</v>
      </c>
      <c r="H19" s="7">
        <v>2</v>
      </c>
      <c r="I19" s="7"/>
      <c r="J19" s="8">
        <f>VLOOKUP(C19,[1]Lab!$C$9:$I$126, 6, FALSE)</f>
        <v>10</v>
      </c>
      <c r="K19" s="8">
        <f>VLOOKUP(C19,[1]Lab!$C$9:$I$126, 7, FALSE)</f>
        <v>10</v>
      </c>
      <c r="L19" s="5">
        <f>_xlfn.IFNA(VLOOKUP(C19, [1]exam!$A$2:$C$115,3,FALSE),0)</f>
        <v>7.25</v>
      </c>
      <c r="M19" s="4">
        <v>8</v>
      </c>
      <c r="N19" s="5"/>
      <c r="O19">
        <f t="shared" si="0"/>
        <v>7.25</v>
      </c>
      <c r="P19" s="5">
        <f>J19*0.1+K19*0.1+MIN((L19+N19),10)*0.4+M19*0.4</f>
        <v>8.1000000000000014</v>
      </c>
      <c r="Q19" s="10">
        <f>IF(P19*10&lt;50,5,ROUND(3*((100-P19*10)/50)+1,1))</f>
        <v>2.1</v>
      </c>
      <c r="R19" s="10">
        <f>IF(Q19&gt;4,5,IF((Q19-TRUNC(Q19))&lt;0.3,TRUNC(Q19),IF((Q19-TRUNC(Q19))&gt;=0.7,TRUNC(Q19)+0.7,TRUNC(Q19)+0.3)))</f>
        <v>2</v>
      </c>
      <c r="S19" s="5"/>
    </row>
    <row r="20" spans="1:19" ht="15.6">
      <c r="A20" s="6">
        <v>19</v>
      </c>
      <c r="B20" s="7" t="s">
        <v>23</v>
      </c>
      <c r="C20" s="7">
        <v>10422123</v>
      </c>
      <c r="D20" s="7" t="s">
        <v>52</v>
      </c>
      <c r="E20" s="7" t="s">
        <v>48</v>
      </c>
      <c r="F20" s="6">
        <v>1</v>
      </c>
      <c r="G20" s="7" t="s">
        <v>62</v>
      </c>
      <c r="H20" s="7">
        <v>3.7</v>
      </c>
      <c r="I20" s="7"/>
      <c r="J20" s="8">
        <f>VLOOKUP(C20,[1]Lab!$C$9:$I$126, 6, FALSE)</f>
        <v>0</v>
      </c>
      <c r="K20" s="8">
        <f>VLOOKUP(C20,[1]Lab!$C$9:$I$126, 7, FALSE)</f>
        <v>10</v>
      </c>
      <c r="L20" s="5">
        <f>_xlfn.IFNA(VLOOKUP(C20, [1]exam!$A$2:$C$115,3,FALSE),0)</f>
        <v>6.25</v>
      </c>
      <c r="M20" s="4">
        <v>5</v>
      </c>
      <c r="N20" s="4"/>
      <c r="O20">
        <f t="shared" si="0"/>
        <v>6.25</v>
      </c>
      <c r="P20" s="5">
        <f>J20*0.1+K20*0.1+MIN((L20+N20),10)*0.4+M20*0.4</f>
        <v>5.5</v>
      </c>
      <c r="Q20" s="10">
        <f>IF(P20*10&lt;50,5,ROUND(3*((100-P20*10)/50)+1,1))</f>
        <v>3.7</v>
      </c>
      <c r="R20" s="10">
        <f>IF(Q20&gt;4,5,IF((Q20-TRUNC(Q20))&lt;0.3,TRUNC(Q20),IF((Q20-TRUNC(Q20))&gt;=0.7,TRUNC(Q20)+0.7,TRUNC(Q20)+0.3)))</f>
        <v>3.7</v>
      </c>
      <c r="S20" s="5"/>
    </row>
    <row r="21" spans="1:19" ht="15.6">
      <c r="A21" s="6">
        <v>20</v>
      </c>
      <c r="B21" s="7" t="s">
        <v>23</v>
      </c>
      <c r="C21" s="7">
        <v>10422089</v>
      </c>
      <c r="D21" s="7" t="s">
        <v>63</v>
      </c>
      <c r="E21" s="7" t="s">
        <v>64</v>
      </c>
      <c r="F21" s="6">
        <v>1</v>
      </c>
      <c r="G21" s="7" t="s">
        <v>65</v>
      </c>
      <c r="H21" s="7">
        <v>2.7</v>
      </c>
      <c r="I21" s="7"/>
      <c r="J21" s="8">
        <f>VLOOKUP(C21,[1]Lab!$C$9:$I$126, 6, FALSE)</f>
        <v>0</v>
      </c>
      <c r="K21" s="8">
        <f>VLOOKUP(C21,[1]Lab!$C$9:$I$126, 7, FALSE)</f>
        <v>10</v>
      </c>
      <c r="L21" s="5">
        <f>_xlfn.IFNA(VLOOKUP(C21, [1]exam!$A$2:$C$115,3,FALSE),0)</f>
        <v>7</v>
      </c>
      <c r="M21" s="4">
        <v>8</v>
      </c>
      <c r="N21" s="5"/>
      <c r="O21">
        <f t="shared" si="0"/>
        <v>7</v>
      </c>
      <c r="P21" s="5">
        <f>J21*0.1+K21*0.1+MIN((L21+N21),10)*0.4+M21*0.4</f>
        <v>7</v>
      </c>
      <c r="Q21" s="10">
        <f>IF(P21*10&lt;50,5,ROUND(3*((100-P21*10)/50)+1,1))</f>
        <v>2.8</v>
      </c>
      <c r="R21" s="10">
        <f>IF(Q21&gt;4,5,IF((Q21-TRUNC(Q21))&lt;0.3,TRUNC(Q21),IF((Q21-TRUNC(Q21))&gt;=0.7,TRUNC(Q21)+0.7,TRUNC(Q21)+0.3)))</f>
        <v>2.7</v>
      </c>
      <c r="S21" s="5"/>
    </row>
    <row r="22" spans="1:19" ht="15.6">
      <c r="A22" s="16">
        <v>21</v>
      </c>
      <c r="B22" s="17" t="s">
        <v>23</v>
      </c>
      <c r="C22" s="17">
        <v>10422017</v>
      </c>
      <c r="D22" s="17" t="s">
        <v>66</v>
      </c>
      <c r="E22" s="17" t="s">
        <v>67</v>
      </c>
      <c r="F22" s="16">
        <v>1</v>
      </c>
      <c r="G22" s="17" t="s">
        <v>68</v>
      </c>
      <c r="H22" s="18">
        <v>1</v>
      </c>
      <c r="I22" s="17"/>
      <c r="J22" s="19">
        <v>10</v>
      </c>
      <c r="K22" s="20">
        <f>VLOOKUP(C22,[1]Lab!$C$9:$I$126, 7, FALSE)</f>
        <v>10</v>
      </c>
      <c r="L22" s="5">
        <f>_xlfn.IFNA(VLOOKUP(C22, [1]exam!$A$2:$C$115,3,FALSE),0)</f>
        <v>8.75</v>
      </c>
      <c r="M22" s="21">
        <v>10</v>
      </c>
      <c r="N22" s="21">
        <v>1</v>
      </c>
      <c r="O22">
        <f t="shared" si="0"/>
        <v>9.75</v>
      </c>
      <c r="P22" s="22">
        <f>J22*0.1+K22*0.1+MIN((L22+N22),10)*0.4+M22*0.4</f>
        <v>9.9</v>
      </c>
      <c r="Q22" s="23">
        <f>IF(P22*10&lt;50,5,ROUND(3*((100-P22*10)/50)+1,1))</f>
        <v>1.1000000000000001</v>
      </c>
      <c r="R22" s="23">
        <f>IF(Q22&gt;4,5,IF((Q22-TRUNC(Q22))&lt;0.3,TRUNC(Q22),IF((Q22-TRUNC(Q22))&gt;=0.7,TRUNC(Q22)+0.7,TRUNC(Q22)+0.3)))</f>
        <v>1</v>
      </c>
      <c r="S22" s="22"/>
    </row>
    <row r="23" spans="1:19" ht="15.6">
      <c r="A23" s="6">
        <v>22</v>
      </c>
      <c r="B23" s="7" t="s">
        <v>23</v>
      </c>
      <c r="C23" s="7">
        <v>10422091</v>
      </c>
      <c r="D23" s="7" t="s">
        <v>69</v>
      </c>
      <c r="E23" s="7" t="s">
        <v>67</v>
      </c>
      <c r="F23" s="6">
        <v>1</v>
      </c>
      <c r="G23" s="7" t="s">
        <v>70</v>
      </c>
      <c r="H23" s="7">
        <v>1.7</v>
      </c>
      <c r="I23" s="7"/>
      <c r="J23" s="8">
        <f>VLOOKUP(C23,[1]Lab!$C$9:$I$126, 6, FALSE)</f>
        <v>4</v>
      </c>
      <c r="K23" s="8">
        <f>VLOOKUP(C23,[1]Lab!$C$9:$I$126, 7, FALSE)</f>
        <v>10</v>
      </c>
      <c r="L23" s="5">
        <f>_xlfn.IFNA(VLOOKUP(C23, [1]exam!$A$2:$C$115,3,FALSE),0)</f>
        <v>8</v>
      </c>
      <c r="M23" s="4">
        <v>10</v>
      </c>
      <c r="N23" s="5"/>
      <c r="O23">
        <f t="shared" si="0"/>
        <v>8</v>
      </c>
      <c r="P23" s="5">
        <f>J23*0.1+K23*0.1+MIN((L23+N23),10)*0.4+M23*0.4</f>
        <v>8.6</v>
      </c>
      <c r="Q23" s="10">
        <f>IF(P23*10&lt;50,5,ROUND(3*((100-P23*10)/50)+1,1))</f>
        <v>1.8</v>
      </c>
      <c r="R23" s="10">
        <f>IF(Q23&gt;4,5,IF((Q23-TRUNC(Q23))&lt;0.3,TRUNC(Q23),IF((Q23-TRUNC(Q23))&gt;=0.7,TRUNC(Q23)+0.7,TRUNC(Q23)+0.3)))</f>
        <v>1.7</v>
      </c>
      <c r="S23" s="5"/>
    </row>
    <row r="24" spans="1:19" ht="15.6">
      <c r="A24" s="6">
        <v>23</v>
      </c>
      <c r="B24" s="7" t="s">
        <v>23</v>
      </c>
      <c r="C24" s="7">
        <v>10422018</v>
      </c>
      <c r="D24" s="7" t="s">
        <v>71</v>
      </c>
      <c r="E24" s="7" t="s">
        <v>72</v>
      </c>
      <c r="F24" s="6">
        <v>1</v>
      </c>
      <c r="G24" s="7" t="s">
        <v>73</v>
      </c>
      <c r="H24" s="7">
        <v>2</v>
      </c>
      <c r="I24" s="7"/>
      <c r="J24" s="8">
        <f>VLOOKUP(C24,[1]Lab!$C$9:$I$126, 6, FALSE)</f>
        <v>0</v>
      </c>
      <c r="K24" s="8">
        <f>VLOOKUP(C24,[1]Lab!$C$9:$I$126, 7, FALSE)</f>
        <v>10</v>
      </c>
      <c r="L24" s="5">
        <f>_xlfn.IFNA(VLOOKUP(C24, [1]exam!$A$2:$C$115,3,FALSE),0)</f>
        <v>7.75</v>
      </c>
      <c r="M24" s="4">
        <v>10</v>
      </c>
      <c r="N24" s="4">
        <v>0</v>
      </c>
      <c r="O24">
        <f t="shared" si="0"/>
        <v>7.75</v>
      </c>
      <c r="P24" s="5">
        <f>J24*0.1+K24*0.1+MIN((L24+N24),10)*0.4+M24*0.4</f>
        <v>8.1</v>
      </c>
      <c r="Q24" s="10">
        <f>IF(P24*10&lt;50,5,ROUND(3*((100-P24*10)/50)+1,1))</f>
        <v>2.1</v>
      </c>
      <c r="R24" s="10">
        <f>IF(Q24&gt;4,5,IF((Q24-TRUNC(Q24))&lt;0.3,TRUNC(Q24),IF((Q24-TRUNC(Q24))&gt;=0.7,TRUNC(Q24)+0.7,TRUNC(Q24)+0.3)))</f>
        <v>2</v>
      </c>
      <c r="S24" s="5"/>
    </row>
    <row r="25" spans="1:19" ht="15.6">
      <c r="A25" s="6">
        <v>24</v>
      </c>
      <c r="B25" s="7" t="s">
        <v>23</v>
      </c>
      <c r="C25" s="7">
        <v>10422019</v>
      </c>
      <c r="D25" s="7" t="s">
        <v>74</v>
      </c>
      <c r="E25" s="7" t="s">
        <v>75</v>
      </c>
      <c r="F25" s="6">
        <v>1</v>
      </c>
      <c r="G25" s="7" t="s">
        <v>76</v>
      </c>
      <c r="H25" s="7">
        <v>1.7</v>
      </c>
      <c r="I25" s="7"/>
      <c r="J25" s="8">
        <f>VLOOKUP(C25,[1]Lab!$C$9:$I$126, 6, FALSE)</f>
        <v>10</v>
      </c>
      <c r="K25" s="8">
        <f>VLOOKUP(C25,[1]Lab!$C$9:$I$126, 7, FALSE)</f>
        <v>10</v>
      </c>
      <c r="L25" s="5">
        <f>_xlfn.IFNA(VLOOKUP(C25, [1]exam!$A$2:$C$115,3,FALSE),0)</f>
        <v>6.25</v>
      </c>
      <c r="M25" s="4">
        <v>10</v>
      </c>
      <c r="N25" s="4">
        <v>1</v>
      </c>
      <c r="O25">
        <f t="shared" si="0"/>
        <v>7.25</v>
      </c>
      <c r="P25" s="5">
        <f>J25*0.1+K25*0.1+MIN((L25+N25),10)*0.4+M25*0.4</f>
        <v>8.9</v>
      </c>
      <c r="Q25" s="10">
        <f>IF(P25*10&lt;50,5,ROUND(3*((100-P25*10)/50)+1,1))</f>
        <v>1.7</v>
      </c>
      <c r="R25" s="10">
        <f>IF(Q25&gt;4,5,IF((Q25-TRUNC(Q25))&lt;0.3,TRUNC(Q25),IF((Q25-TRUNC(Q25))&gt;=0.7,TRUNC(Q25)+0.7,TRUNC(Q25)+0.3)))</f>
        <v>1.7</v>
      </c>
      <c r="S25" s="5"/>
    </row>
    <row r="26" spans="1:19" ht="15.6">
      <c r="A26" s="6">
        <v>25</v>
      </c>
      <c r="B26" s="7" t="s">
        <v>23</v>
      </c>
      <c r="C26" s="7">
        <v>10422092</v>
      </c>
      <c r="D26" s="7" t="s">
        <v>77</v>
      </c>
      <c r="E26" s="7" t="s">
        <v>75</v>
      </c>
      <c r="F26" s="6">
        <v>1</v>
      </c>
      <c r="G26" s="7" t="s">
        <v>78</v>
      </c>
      <c r="H26" s="7">
        <v>1.3</v>
      </c>
      <c r="I26" s="7"/>
      <c r="J26" s="8">
        <f>VLOOKUP(C26,[1]Lab!$C$9:$I$126, 6, FALSE)</f>
        <v>10</v>
      </c>
      <c r="K26" s="8">
        <f>VLOOKUP(C26,[1]Lab!$C$9:$I$126, 7, FALSE)</f>
        <v>10</v>
      </c>
      <c r="L26" s="5">
        <f>_xlfn.IFNA(VLOOKUP(C26, [1]exam!$A$2:$C$115,3,FALSE),0)</f>
        <v>7.5</v>
      </c>
      <c r="M26" s="4">
        <v>10</v>
      </c>
      <c r="N26" s="4">
        <v>1</v>
      </c>
      <c r="O26">
        <f t="shared" si="0"/>
        <v>8.5</v>
      </c>
      <c r="P26" s="5">
        <f>J26*0.1+K26*0.1+MIN((L26+N26),10)*0.4+M26*0.4</f>
        <v>9.4</v>
      </c>
      <c r="Q26" s="10">
        <f>IF(P26*10&lt;50,5,ROUND(3*((100-P26*10)/50)+1,1))</f>
        <v>1.4</v>
      </c>
      <c r="R26" s="10">
        <f>IF(Q26&gt;4,5,IF((Q26-TRUNC(Q26))&lt;0.3,TRUNC(Q26),IF((Q26-TRUNC(Q26))&gt;=0.7,TRUNC(Q26)+0.7,TRUNC(Q26)+0.3)))</f>
        <v>1.3</v>
      </c>
      <c r="S26" s="5"/>
    </row>
    <row r="27" spans="1:19" ht="15.6">
      <c r="A27" s="6">
        <v>26</v>
      </c>
      <c r="B27" s="7" t="s">
        <v>23</v>
      </c>
      <c r="C27" s="7">
        <v>10422020</v>
      </c>
      <c r="D27" s="7" t="s">
        <v>79</v>
      </c>
      <c r="E27" s="7" t="s">
        <v>80</v>
      </c>
      <c r="F27" s="6">
        <v>1</v>
      </c>
      <c r="G27" s="7" t="s">
        <v>81</v>
      </c>
      <c r="H27" s="7">
        <v>3</v>
      </c>
      <c r="I27" s="7"/>
      <c r="J27" s="8">
        <f>VLOOKUP(C27,[1]Lab!$C$9:$I$126, 6, FALSE)</f>
        <v>8</v>
      </c>
      <c r="K27" s="8">
        <f>VLOOKUP(C27,[1]Lab!$C$9:$I$126, 7, FALSE)</f>
        <v>10</v>
      </c>
      <c r="L27" s="5">
        <f>_xlfn.IFNA(VLOOKUP(C27, [1]exam!$A$2:$C$115,3,FALSE),0)</f>
        <v>6.75</v>
      </c>
      <c r="M27" s="4">
        <v>5</v>
      </c>
      <c r="N27" s="5"/>
      <c r="O27">
        <f t="shared" si="0"/>
        <v>6.75</v>
      </c>
      <c r="P27" s="5">
        <f>J27*0.1+K27*0.1+MIN((L27+N27),10)*0.4+M27*0.4</f>
        <v>6.5</v>
      </c>
      <c r="Q27" s="10">
        <f>IF(P27*10&lt;50,5,ROUND(3*((100-P27*10)/50)+1,1))</f>
        <v>3.1</v>
      </c>
      <c r="R27" s="10">
        <f>IF(Q27&gt;4,5,IF((Q27-TRUNC(Q27))&lt;0.3,TRUNC(Q27),IF((Q27-TRUNC(Q27))&gt;=0.7,TRUNC(Q27)+0.7,TRUNC(Q27)+0.3)))</f>
        <v>3</v>
      </c>
      <c r="S27" s="5"/>
    </row>
    <row r="28" spans="1:19" ht="15.6">
      <c r="A28" s="6">
        <v>27</v>
      </c>
      <c r="B28" s="7" t="s">
        <v>23</v>
      </c>
      <c r="C28" s="7">
        <v>10422093</v>
      </c>
      <c r="D28" s="7" t="s">
        <v>82</v>
      </c>
      <c r="E28" s="7" t="s">
        <v>80</v>
      </c>
      <c r="F28" s="6">
        <v>1</v>
      </c>
      <c r="G28" s="7" t="s">
        <v>83</v>
      </c>
      <c r="H28" s="7">
        <v>2</v>
      </c>
      <c r="I28" s="7"/>
      <c r="J28" s="8">
        <f>VLOOKUP(C28,[1]Lab!$C$9:$I$126, 6, FALSE)</f>
        <v>10</v>
      </c>
      <c r="K28" s="8">
        <f>VLOOKUP(C28,[1]Lab!$C$9:$I$126, 7, FALSE)</f>
        <v>10</v>
      </c>
      <c r="L28" s="5">
        <f>_xlfn.IFNA(VLOOKUP(C28, [1]exam!$A$2:$C$115,3,FALSE),0)</f>
        <v>5</v>
      </c>
      <c r="M28" s="4">
        <v>10</v>
      </c>
      <c r="N28" s="4">
        <v>1</v>
      </c>
      <c r="O28">
        <f t="shared" si="0"/>
        <v>6</v>
      </c>
      <c r="P28" s="5">
        <f>J28*0.1+K28*0.1+MIN((L28+N28),10)*0.4+M28*0.4</f>
        <v>8.4</v>
      </c>
      <c r="Q28" s="10">
        <f>IF(P28*10&lt;50,5,ROUND(3*((100-P28*10)/50)+1,1))</f>
        <v>2</v>
      </c>
      <c r="R28" s="10">
        <f>IF(Q28&gt;4,5,IF((Q28-TRUNC(Q28))&lt;0.3,TRUNC(Q28),IF((Q28-TRUNC(Q28))&gt;=0.7,TRUNC(Q28)+0.7,TRUNC(Q28)+0.3)))</f>
        <v>2</v>
      </c>
      <c r="S28" s="5"/>
    </row>
    <row r="29" spans="1:19" ht="15.6">
      <c r="A29" s="6">
        <v>28</v>
      </c>
      <c r="B29" s="7" t="s">
        <v>23</v>
      </c>
      <c r="C29" s="7">
        <v>10422021</v>
      </c>
      <c r="D29" s="7" t="s">
        <v>84</v>
      </c>
      <c r="E29" s="7" t="s">
        <v>85</v>
      </c>
      <c r="F29" s="6">
        <v>1</v>
      </c>
      <c r="G29" s="7" t="s">
        <v>86</v>
      </c>
      <c r="H29" s="7">
        <v>1</v>
      </c>
      <c r="I29" s="7"/>
      <c r="J29" s="8">
        <f>VLOOKUP(C29,[1]Lab!$C$9:$I$126, 6, FALSE)</f>
        <v>10</v>
      </c>
      <c r="K29" s="8">
        <f>VLOOKUP(C29,[1]Lab!$C$9:$I$126, 7, FALSE)</f>
        <v>10</v>
      </c>
      <c r="L29" s="5">
        <f>_xlfn.IFNA(VLOOKUP(C29, [1]exam!$A$2:$C$115,3,FALSE),0)</f>
        <v>9.5</v>
      </c>
      <c r="M29" s="4">
        <v>10</v>
      </c>
      <c r="N29" s="4">
        <v>2</v>
      </c>
      <c r="O29">
        <f t="shared" si="0"/>
        <v>11.5</v>
      </c>
      <c r="P29" s="5">
        <f>J29*0.1+K29*0.1+MIN((L29+N29),10)*0.4+M29*0.4</f>
        <v>10</v>
      </c>
      <c r="Q29" s="10">
        <f>IF(P29*10&lt;50,5,ROUND(3*((100-P29*10)/50)+1,1))</f>
        <v>1</v>
      </c>
      <c r="R29" s="10">
        <f>IF(Q29&gt;4,5,IF((Q29-TRUNC(Q29))&lt;0.3,TRUNC(Q29),IF((Q29-TRUNC(Q29))&gt;=0.7,TRUNC(Q29)+0.7,TRUNC(Q29)+0.3)))</f>
        <v>1</v>
      </c>
      <c r="S29" s="5"/>
    </row>
    <row r="30" spans="1:19" ht="15.6">
      <c r="A30" s="6">
        <v>29</v>
      </c>
      <c r="B30" s="7" t="s">
        <v>23</v>
      </c>
      <c r="C30" s="7">
        <v>17417</v>
      </c>
      <c r="D30" s="7" t="s">
        <v>16</v>
      </c>
      <c r="E30" s="7" t="s">
        <v>87</v>
      </c>
      <c r="F30" s="6">
        <v>1</v>
      </c>
      <c r="G30" s="7" t="s">
        <v>88</v>
      </c>
      <c r="H30" s="7">
        <v>5</v>
      </c>
      <c r="I30" s="7"/>
      <c r="J30" s="8">
        <f>VLOOKUP(C30,[1]Lab!$C$9:$I$126, 6, FALSE)</f>
        <v>0</v>
      </c>
      <c r="K30" s="24"/>
      <c r="L30" s="5">
        <f>_xlfn.IFNA(VLOOKUP(C30, [1]exam!$A$2:$C$115,3,FALSE),0)</f>
        <v>3.75</v>
      </c>
      <c r="M30" s="9"/>
      <c r="N30" s="9"/>
      <c r="O30">
        <f t="shared" si="0"/>
        <v>3.75</v>
      </c>
      <c r="P30" s="5">
        <f>J30*0.1+K30*0.1+MIN((L30+N30),10)*0.4+M30*0.4</f>
        <v>1.5</v>
      </c>
      <c r="Q30" s="10">
        <f>IF(P30*10&lt;50,5,ROUND(3*((100-P30*10)/50)+1,1))</f>
        <v>5</v>
      </c>
      <c r="R30" s="10">
        <f>IF(Q30&gt;4,5,IF((Q30-TRUNC(Q30))&lt;0.3,TRUNC(Q30),IF((Q30-TRUNC(Q30))&gt;=0.7,TRUNC(Q30)+0.7,TRUNC(Q30)+0.3)))</f>
        <v>5</v>
      </c>
      <c r="S30" s="5"/>
    </row>
    <row r="31" spans="1:19" ht="15.6">
      <c r="A31" s="6">
        <v>30</v>
      </c>
      <c r="B31" s="7" t="s">
        <v>23</v>
      </c>
      <c r="C31" s="7">
        <v>10422022</v>
      </c>
      <c r="D31" s="7" t="s">
        <v>89</v>
      </c>
      <c r="E31" s="7" t="s">
        <v>87</v>
      </c>
      <c r="F31" s="6">
        <v>1</v>
      </c>
      <c r="G31" s="7" t="s">
        <v>90</v>
      </c>
      <c r="H31" s="7">
        <v>1.3</v>
      </c>
      <c r="I31" s="7"/>
      <c r="J31" s="8">
        <f>VLOOKUP(C31,[1]Lab!$C$9:$I$126, 6, FALSE)</f>
        <v>10</v>
      </c>
      <c r="K31" s="8">
        <f>VLOOKUP(C31,[1]Lab!$C$9:$I$126, 7, FALSE)</f>
        <v>10</v>
      </c>
      <c r="L31" s="5">
        <f>_xlfn.IFNA(VLOOKUP(C31, [1]exam!$A$2:$C$115,3,FALSE),0)</f>
        <v>7.75</v>
      </c>
      <c r="M31" s="4">
        <v>10</v>
      </c>
      <c r="N31" s="4">
        <v>1</v>
      </c>
      <c r="O31">
        <f t="shared" si="0"/>
        <v>8.75</v>
      </c>
      <c r="P31" s="5">
        <f>J31*0.1+K31*0.1+MIN((L31+N31),10)*0.4+M31*0.4</f>
        <v>9.5</v>
      </c>
      <c r="Q31" s="10">
        <f>IF(P31*10&lt;50,5,ROUND(3*((100-P31*10)/50)+1,1))</f>
        <v>1.3</v>
      </c>
      <c r="R31" s="10">
        <f>IF(Q31&gt;4,5,IF((Q31-TRUNC(Q31))&lt;0.3,TRUNC(Q31),IF((Q31-TRUNC(Q31))&gt;=0.7,TRUNC(Q31)+0.7,TRUNC(Q31)+0.3)))</f>
        <v>1.3</v>
      </c>
      <c r="S31" s="5"/>
    </row>
    <row r="32" spans="1:19" ht="15.6">
      <c r="A32" s="6">
        <v>31</v>
      </c>
      <c r="B32" s="7" t="s">
        <v>23</v>
      </c>
      <c r="C32" s="7">
        <v>10422023</v>
      </c>
      <c r="D32" s="7" t="s">
        <v>91</v>
      </c>
      <c r="E32" s="7" t="s">
        <v>87</v>
      </c>
      <c r="F32" s="6">
        <v>1</v>
      </c>
      <c r="G32" s="7" t="s">
        <v>92</v>
      </c>
      <c r="H32" s="7">
        <v>1</v>
      </c>
      <c r="I32" s="7"/>
      <c r="J32" s="8">
        <f>VLOOKUP(C32,[1]Lab!$C$9:$I$126, 6, FALSE)</f>
        <v>10</v>
      </c>
      <c r="K32" s="8">
        <f>VLOOKUP(C32,[1]Lab!$C$9:$I$126, 7, FALSE)</f>
        <v>10</v>
      </c>
      <c r="L32" s="5">
        <f>_xlfn.IFNA(VLOOKUP(C32, [1]exam!$A$2:$C$115,3,FALSE),0)</f>
        <v>8</v>
      </c>
      <c r="M32" s="4">
        <v>10</v>
      </c>
      <c r="N32" s="4">
        <v>1</v>
      </c>
      <c r="O32">
        <f t="shared" si="0"/>
        <v>9</v>
      </c>
      <c r="P32" s="5">
        <f>J32*0.1+K32*0.1+MIN((L32+N32),10)*0.4+M32*0.4</f>
        <v>9.6</v>
      </c>
      <c r="Q32" s="10">
        <f>IF(P32*10&lt;50,5,ROUND(3*((100-P32*10)/50)+1,1))</f>
        <v>1.2</v>
      </c>
      <c r="R32" s="10">
        <f>IF(Q32&gt;4,5,IF((Q32-TRUNC(Q32))&lt;0.3,TRUNC(Q32),IF((Q32-TRUNC(Q32))&gt;=0.7,TRUNC(Q32)+0.7,TRUNC(Q32)+0.3)))</f>
        <v>1</v>
      </c>
      <c r="S32" s="4" t="s">
        <v>93</v>
      </c>
    </row>
    <row r="33" spans="1:19" ht="15.6">
      <c r="A33" s="6">
        <v>32</v>
      </c>
      <c r="B33" s="7" t="s">
        <v>23</v>
      </c>
      <c r="C33" s="7">
        <v>10422024</v>
      </c>
      <c r="D33" s="7" t="s">
        <v>94</v>
      </c>
      <c r="E33" s="7" t="s">
        <v>95</v>
      </c>
      <c r="F33" s="6">
        <v>1</v>
      </c>
      <c r="G33" s="7" t="s">
        <v>96</v>
      </c>
      <c r="H33" s="7">
        <v>1</v>
      </c>
      <c r="I33" s="7"/>
      <c r="J33" s="8">
        <f>VLOOKUP(C33,[1]Lab!$C$9:$I$126, 6, FALSE)</f>
        <v>10</v>
      </c>
      <c r="K33" s="8">
        <f>VLOOKUP(C33,[1]Lab!$C$9:$I$126, 7, FALSE)</f>
        <v>10</v>
      </c>
      <c r="L33" s="5">
        <f>_xlfn.IFNA(VLOOKUP(C33, [1]exam!$A$2:$C$115,3,FALSE),0)</f>
        <v>8.5</v>
      </c>
      <c r="M33" s="4">
        <v>10</v>
      </c>
      <c r="N33" s="4">
        <v>1</v>
      </c>
      <c r="O33">
        <f t="shared" si="0"/>
        <v>9.5</v>
      </c>
      <c r="P33" s="5">
        <f>J33*0.1+K33*0.1+MIN((L33+N33),10)*0.4+M33*0.4</f>
        <v>9.8000000000000007</v>
      </c>
      <c r="Q33" s="10">
        <f>IF(P33*10&lt;50,5,ROUND(3*((100-P33*10)/50)+1,1))</f>
        <v>1.1000000000000001</v>
      </c>
      <c r="R33" s="10">
        <f>IF(Q33&gt;4,5,IF((Q33-TRUNC(Q33))&lt;0.3,TRUNC(Q33),IF((Q33-TRUNC(Q33))&gt;=0.7,TRUNC(Q33)+0.7,TRUNC(Q33)+0.3)))</f>
        <v>1</v>
      </c>
      <c r="S33" s="5"/>
    </row>
    <row r="34" spans="1:19" ht="15.6">
      <c r="A34" s="6">
        <v>33</v>
      </c>
      <c r="B34" s="7" t="s">
        <v>23</v>
      </c>
      <c r="C34" s="7">
        <v>10421015</v>
      </c>
      <c r="D34" s="7" t="s">
        <v>97</v>
      </c>
      <c r="E34" s="7" t="s">
        <v>98</v>
      </c>
      <c r="F34" s="6">
        <v>1</v>
      </c>
      <c r="G34" s="7" t="s">
        <v>99</v>
      </c>
      <c r="H34" s="7">
        <v>2</v>
      </c>
      <c r="I34" s="7"/>
      <c r="J34" s="8">
        <f>VLOOKUP(C34,[1]Lab!$C$9:$I$126, 6, FALSE)</f>
        <v>10</v>
      </c>
      <c r="K34" s="8">
        <f>VLOOKUP(C34,[1]Lab!$C$9:$I$126, 7, FALSE)</f>
        <v>10</v>
      </c>
      <c r="L34" s="5">
        <f>_xlfn.IFNA(VLOOKUP(C34, [1]exam!$A$2:$C$115,3,FALSE),0)</f>
        <v>5.75</v>
      </c>
      <c r="M34" s="4">
        <v>10</v>
      </c>
      <c r="N34" s="4">
        <v>0</v>
      </c>
      <c r="O34">
        <f t="shared" si="0"/>
        <v>5.75</v>
      </c>
      <c r="P34" s="5">
        <f>J34*0.1+K34*0.1+MIN((L34+N34),10)*0.4+M34*0.4</f>
        <v>8.3000000000000007</v>
      </c>
      <c r="Q34" s="10">
        <f>IF(P34*10&lt;50,5,ROUND(3*((100-P34*10)/50)+1,1))</f>
        <v>2</v>
      </c>
      <c r="R34" s="10">
        <f>IF(Q34&gt;4,5,IF((Q34-TRUNC(Q34))&lt;0.3,TRUNC(Q34),IF((Q34-TRUNC(Q34))&gt;=0.7,TRUNC(Q34)+0.7,TRUNC(Q34)+0.3)))</f>
        <v>2</v>
      </c>
      <c r="S34" s="5"/>
    </row>
    <row r="35" spans="1:19" ht="15.6">
      <c r="A35" s="6">
        <v>34</v>
      </c>
      <c r="B35" s="7" t="s">
        <v>23</v>
      </c>
      <c r="C35" s="7">
        <v>10422025</v>
      </c>
      <c r="D35" s="7" t="s">
        <v>100</v>
      </c>
      <c r="E35" s="7" t="s">
        <v>101</v>
      </c>
      <c r="F35" s="6">
        <v>1</v>
      </c>
      <c r="G35" s="7" t="s">
        <v>102</v>
      </c>
      <c r="H35" s="7">
        <v>1.3</v>
      </c>
      <c r="I35" s="7"/>
      <c r="J35" s="8">
        <f>VLOOKUP(C35,[1]Lab!$C$9:$I$126, 6, FALSE)</f>
        <v>10</v>
      </c>
      <c r="K35" s="8">
        <f>VLOOKUP(C35,[1]Lab!$C$9:$I$126, 7, FALSE)</f>
        <v>10</v>
      </c>
      <c r="L35" s="5">
        <f>_xlfn.IFNA(VLOOKUP(C35, [1]exam!$A$2:$C$115,3,FALSE),0)</f>
        <v>7.75</v>
      </c>
      <c r="M35" s="4">
        <v>10</v>
      </c>
      <c r="N35" s="4">
        <v>1</v>
      </c>
      <c r="O35">
        <f t="shared" si="0"/>
        <v>8.75</v>
      </c>
      <c r="P35" s="5">
        <f>J35*0.1+K35*0.1+MIN((L35+N35),10)*0.4+M35*0.4</f>
        <v>9.5</v>
      </c>
      <c r="Q35" s="10">
        <f>IF(P35*10&lt;50,5,ROUND(3*((100-P35*10)/50)+1,1))</f>
        <v>1.3</v>
      </c>
      <c r="R35" s="10">
        <f>IF(Q35&gt;4,5,IF((Q35-TRUNC(Q35))&lt;0.3,TRUNC(Q35),IF((Q35-TRUNC(Q35))&gt;=0.7,TRUNC(Q35)+0.7,TRUNC(Q35)+0.3)))</f>
        <v>1.3</v>
      </c>
      <c r="S35" s="4" t="s">
        <v>103</v>
      </c>
    </row>
    <row r="36" spans="1:19" ht="15.6">
      <c r="A36" s="6">
        <v>35</v>
      </c>
      <c r="B36" s="7" t="s">
        <v>23</v>
      </c>
      <c r="C36" s="7">
        <v>10422094</v>
      </c>
      <c r="D36" s="7" t="s">
        <v>104</v>
      </c>
      <c r="E36" s="7" t="s">
        <v>101</v>
      </c>
      <c r="F36" s="6">
        <v>1</v>
      </c>
      <c r="G36" s="7" t="s">
        <v>105</v>
      </c>
      <c r="H36" s="7">
        <v>2</v>
      </c>
      <c r="I36" s="7"/>
      <c r="J36" s="8">
        <f>VLOOKUP(C36,[1]Lab!$C$9:$I$126, 6, FALSE)</f>
        <v>8</v>
      </c>
      <c r="K36" s="8">
        <f>VLOOKUP(C36,[1]Lab!$C$9:$I$126, 7, FALSE)</f>
        <v>10</v>
      </c>
      <c r="L36" s="5">
        <f>_xlfn.IFNA(VLOOKUP(C36, [1]exam!$A$2:$C$115,3,FALSE),0)</f>
        <v>5.5</v>
      </c>
      <c r="M36" s="4">
        <v>10</v>
      </c>
      <c r="N36" s="5"/>
      <c r="O36">
        <f t="shared" si="0"/>
        <v>5.5</v>
      </c>
      <c r="P36" s="5">
        <f>J36*0.1+K36*0.1+MIN((L36+N36),10)*0.4+M36*0.4</f>
        <v>8</v>
      </c>
      <c r="Q36" s="10">
        <f>IF(P36*10&lt;50,5,ROUND(3*((100-P36*10)/50)+1,1))</f>
        <v>2.2000000000000002</v>
      </c>
      <c r="R36" s="10">
        <f>IF(Q36&gt;4,5,IF((Q36-TRUNC(Q36))&lt;0.3,TRUNC(Q36),IF((Q36-TRUNC(Q36))&gt;=0.7,TRUNC(Q36)+0.7,TRUNC(Q36)+0.3)))</f>
        <v>2</v>
      </c>
      <c r="S36" s="5"/>
    </row>
    <row r="37" spans="1:19" ht="15.6">
      <c r="A37" s="6">
        <v>36</v>
      </c>
      <c r="B37" s="7" t="s">
        <v>23</v>
      </c>
      <c r="C37" s="7">
        <v>10422095</v>
      </c>
      <c r="D37" s="7" t="s">
        <v>106</v>
      </c>
      <c r="E37" s="7" t="s">
        <v>107</v>
      </c>
      <c r="F37" s="6">
        <v>1</v>
      </c>
      <c r="G37" s="7" t="s">
        <v>108</v>
      </c>
      <c r="H37" s="7">
        <v>2.2999999999999998</v>
      </c>
      <c r="I37" s="7"/>
      <c r="J37" s="8">
        <f>VLOOKUP(C37,[1]Lab!$C$9:$I$126, 6, FALSE)</f>
        <v>10</v>
      </c>
      <c r="K37" s="8">
        <f>VLOOKUP(C37,[1]Lab!$C$9:$I$126, 7, FALSE)</f>
        <v>10</v>
      </c>
      <c r="L37" s="5">
        <f>_xlfn.IFNA(VLOOKUP(C37, [1]exam!$A$2:$C$115,3,FALSE),0)</f>
        <v>4.75</v>
      </c>
      <c r="M37" s="4">
        <v>10</v>
      </c>
      <c r="N37" s="5"/>
      <c r="O37">
        <f t="shared" si="0"/>
        <v>4.75</v>
      </c>
      <c r="P37" s="5">
        <f>J37*0.1+K37*0.1+MIN((L37+N37),10)*0.4+M37*0.4</f>
        <v>7.9</v>
      </c>
      <c r="Q37" s="10">
        <f>IF(P37*10&lt;50,5,ROUND(3*((100-P37*10)/50)+1,1))</f>
        <v>2.2999999999999998</v>
      </c>
      <c r="R37" s="10">
        <f>IF(Q37&gt;4,5,IF((Q37-TRUNC(Q37))&lt;0.3,TRUNC(Q37),IF((Q37-TRUNC(Q37))&gt;=0.7,TRUNC(Q37)+0.7,TRUNC(Q37)+0.3)))</f>
        <v>2.2999999999999998</v>
      </c>
      <c r="S37" s="5"/>
    </row>
    <row r="38" spans="1:19" ht="15.6">
      <c r="A38" s="6">
        <v>37</v>
      </c>
      <c r="B38" s="7" t="s">
        <v>23</v>
      </c>
      <c r="C38" s="7">
        <v>10422026</v>
      </c>
      <c r="D38" s="7" t="s">
        <v>109</v>
      </c>
      <c r="E38" s="7" t="s">
        <v>110</v>
      </c>
      <c r="F38" s="6">
        <v>1</v>
      </c>
      <c r="G38" s="7" t="s">
        <v>111</v>
      </c>
      <c r="H38" s="7">
        <v>2</v>
      </c>
      <c r="I38" s="7"/>
      <c r="J38" s="8">
        <f>VLOOKUP(C38,[1]Lab!$C$9:$I$126, 6, FALSE)</f>
        <v>10</v>
      </c>
      <c r="K38" s="8">
        <f>VLOOKUP(C38,[1]Lab!$C$9:$I$126, 7, FALSE)</f>
        <v>10</v>
      </c>
      <c r="L38" s="5">
        <f>_xlfn.IFNA(VLOOKUP(C38, [1]exam!$A$2:$C$115,3,FALSE),0)</f>
        <v>4.75</v>
      </c>
      <c r="M38" s="4">
        <v>10</v>
      </c>
      <c r="N38" s="4">
        <v>1</v>
      </c>
      <c r="O38">
        <f t="shared" si="0"/>
        <v>5.75</v>
      </c>
      <c r="P38" s="5">
        <f>J38*0.1+K38*0.1+MIN((L38+N38),10)*0.4+M38*0.4</f>
        <v>8.3000000000000007</v>
      </c>
      <c r="Q38" s="10">
        <f>IF(P38*10&lt;50,5,ROUND(3*((100-P38*10)/50)+1,1))</f>
        <v>2</v>
      </c>
      <c r="R38" s="10">
        <f>IF(Q38&gt;4,5,IF((Q38-TRUNC(Q38))&lt;0.3,TRUNC(Q38),IF((Q38-TRUNC(Q38))&gt;=0.7,TRUNC(Q38)+0.7,TRUNC(Q38)+0.3)))</f>
        <v>2</v>
      </c>
      <c r="S38" s="5"/>
    </row>
    <row r="39" spans="1:19" ht="15.6">
      <c r="A39" s="6">
        <v>38</v>
      </c>
      <c r="B39" s="7" t="s">
        <v>23</v>
      </c>
      <c r="C39" s="7">
        <v>10422027</v>
      </c>
      <c r="D39" s="7" t="s">
        <v>112</v>
      </c>
      <c r="E39" s="7" t="s">
        <v>113</v>
      </c>
      <c r="F39" s="6">
        <v>1</v>
      </c>
      <c r="G39" s="7" t="s">
        <v>114</v>
      </c>
      <c r="H39" s="7">
        <v>1.3</v>
      </c>
      <c r="I39" s="7"/>
      <c r="J39" s="8">
        <f>VLOOKUP(C39,[1]Lab!$C$9:$I$126, 6, FALSE)</f>
        <v>10</v>
      </c>
      <c r="K39" s="8">
        <f>VLOOKUP(C39,[1]Lab!$C$9:$I$126, 7, FALSE)</f>
        <v>10</v>
      </c>
      <c r="L39" s="5">
        <f>_xlfn.IFNA(VLOOKUP(C39, [1]exam!$A$2:$C$115,3,FALSE),0)</f>
        <v>7.5</v>
      </c>
      <c r="M39" s="4">
        <v>10</v>
      </c>
      <c r="N39" s="5"/>
      <c r="O39">
        <f t="shared" si="0"/>
        <v>7.5</v>
      </c>
      <c r="P39" s="5">
        <f>J39*0.1+K39*0.1+MIN((L39+N39),10)*0.4+M39*0.4</f>
        <v>9</v>
      </c>
      <c r="Q39" s="10">
        <f>IF(P39*10&lt;50,5,ROUND(3*((100-P39*10)/50)+1,1))</f>
        <v>1.6</v>
      </c>
      <c r="R39" s="10">
        <f>IF(Q39&gt;4,5,IF((Q39-TRUNC(Q39))&lt;0.3,TRUNC(Q39),IF((Q39-TRUNC(Q39))&gt;=0.7,TRUNC(Q39)+0.7,TRUNC(Q39)+0.3)))</f>
        <v>1.3</v>
      </c>
      <c r="S39" s="5"/>
    </row>
    <row r="40" spans="1:19" ht="15.6">
      <c r="A40" s="6">
        <v>39</v>
      </c>
      <c r="B40" s="7" t="s">
        <v>23</v>
      </c>
      <c r="C40" s="7">
        <v>10422028</v>
      </c>
      <c r="D40" s="7" t="s">
        <v>115</v>
      </c>
      <c r="E40" s="7" t="s">
        <v>116</v>
      </c>
      <c r="F40" s="6">
        <v>1</v>
      </c>
      <c r="G40" s="7" t="s">
        <v>117</v>
      </c>
      <c r="H40" s="7">
        <v>5</v>
      </c>
      <c r="I40" s="7" t="s">
        <v>118</v>
      </c>
      <c r="J40" s="8">
        <f>VLOOKUP(C40,[1]Lab!$C$9:$I$126, 6, FALSE)</f>
        <v>0</v>
      </c>
      <c r="K40" s="24"/>
      <c r="L40" s="5">
        <f>_xlfn.IFNA(VLOOKUP(C40, [1]exam!$A$2:$C$115,3,FALSE),0)</f>
        <v>0</v>
      </c>
      <c r="M40" s="5"/>
      <c r="N40" s="5"/>
      <c r="O40">
        <f t="shared" si="0"/>
        <v>0</v>
      </c>
      <c r="P40" s="5">
        <f>J40*0.1+K40*0.1+MIN((L40+N40),10)*0.4+M40*0.4</f>
        <v>0</v>
      </c>
      <c r="Q40" s="10">
        <f>IF(P40*10&lt;50,5,ROUND(3*((100-P40*10)/50)+1,1))</f>
        <v>5</v>
      </c>
      <c r="R40" s="10">
        <f>IF(Q40&gt;4,5,IF((Q40-TRUNC(Q40))&lt;0.3,TRUNC(Q40),IF((Q40-TRUNC(Q40))&gt;=0.7,TRUNC(Q40)+0.7,TRUNC(Q40)+0.3)))</f>
        <v>5</v>
      </c>
      <c r="S40" s="5"/>
    </row>
    <row r="41" spans="1:19" ht="15.6">
      <c r="A41" s="6">
        <v>40</v>
      </c>
      <c r="B41" s="7" t="s">
        <v>23</v>
      </c>
      <c r="C41" s="7">
        <v>10422029</v>
      </c>
      <c r="D41" s="7" t="s">
        <v>119</v>
      </c>
      <c r="E41" s="7" t="s">
        <v>116</v>
      </c>
      <c r="F41" s="6">
        <v>1</v>
      </c>
      <c r="G41" s="7" t="s">
        <v>120</v>
      </c>
      <c r="H41" s="7">
        <v>2.2999999999999998</v>
      </c>
      <c r="I41" s="7"/>
      <c r="J41" s="8">
        <f>VLOOKUP(C41,[1]Lab!$C$9:$I$126, 6, FALSE)</f>
        <v>0</v>
      </c>
      <c r="K41" s="8">
        <f>VLOOKUP(C41,[1]Lab!$C$9:$I$126, 7, FALSE)</f>
        <v>10</v>
      </c>
      <c r="L41" s="5">
        <f>_xlfn.IFNA(VLOOKUP(C41, [1]exam!$A$2:$C$115,3,FALSE),0)</f>
        <v>5.75</v>
      </c>
      <c r="M41" s="4">
        <v>10</v>
      </c>
      <c r="N41" s="4">
        <v>0</v>
      </c>
      <c r="O41">
        <f t="shared" si="0"/>
        <v>5.75</v>
      </c>
      <c r="P41" s="5">
        <f>J41*0.1+K41*0.1+MIN((L41+N41),10)*0.4+M41*0.4</f>
        <v>7.3000000000000007</v>
      </c>
      <c r="Q41" s="10">
        <f>IF(P41*10&lt;50,5,ROUND(3*((100-P41*10)/50)+1,1))</f>
        <v>2.6</v>
      </c>
      <c r="R41" s="10">
        <f>IF(Q41&gt;4,5,IF((Q41-TRUNC(Q41))&lt;0.3,TRUNC(Q41),IF((Q41-TRUNC(Q41))&gt;=0.7,TRUNC(Q41)+0.7,TRUNC(Q41)+0.3)))</f>
        <v>2.2999999999999998</v>
      </c>
      <c r="S41" s="4" t="s">
        <v>121</v>
      </c>
    </row>
    <row r="42" spans="1:19" ht="15.6">
      <c r="A42" s="16">
        <v>41</v>
      </c>
      <c r="B42" s="17" t="s">
        <v>23</v>
      </c>
      <c r="C42" s="17">
        <v>10422031</v>
      </c>
      <c r="D42" s="17" t="s">
        <v>122</v>
      </c>
      <c r="E42" s="17" t="s">
        <v>123</v>
      </c>
      <c r="F42" s="16">
        <v>1</v>
      </c>
      <c r="G42" s="17" t="s">
        <v>124</v>
      </c>
      <c r="H42" s="17">
        <v>1.7</v>
      </c>
      <c r="I42" s="17"/>
      <c r="J42" s="20">
        <f>VLOOKUP(C42,[1]Lab!$C$9:$I$126, 6, FALSE)</f>
        <v>10</v>
      </c>
      <c r="K42" s="20">
        <f>VLOOKUP(C42,[1]Lab!$C$9:$I$126, 7, FALSE)</f>
        <v>10</v>
      </c>
      <c r="L42" s="5">
        <f>_xlfn.IFNA(VLOOKUP(C42, [1]exam!$A$2:$C$115,3,FALSE),0)</f>
        <v>5.75</v>
      </c>
      <c r="M42" s="21">
        <v>10</v>
      </c>
      <c r="N42" s="21">
        <v>1</v>
      </c>
      <c r="O42">
        <f t="shared" si="0"/>
        <v>6.75</v>
      </c>
      <c r="P42" s="22">
        <f>J42*0.1+K42*0.1+MIN((L42+N42),10)*0.4+M42*0.4</f>
        <v>8.6999999999999993</v>
      </c>
      <c r="Q42" s="23">
        <f>IF(P42*10&lt;50,5,ROUND(3*((100-P42*10)/50)+1,1))</f>
        <v>1.8</v>
      </c>
      <c r="R42" s="23">
        <f>IF(Q42&gt;4,5,IF((Q42-TRUNC(Q42))&lt;0.3,TRUNC(Q42),IF((Q42-TRUNC(Q42))&gt;=0.7,TRUNC(Q42)+0.7,TRUNC(Q42)+0.3)))</f>
        <v>1.7</v>
      </c>
      <c r="S42" s="21"/>
    </row>
    <row r="43" spans="1:19" ht="15.6">
      <c r="A43" s="6">
        <v>42</v>
      </c>
      <c r="B43" s="7" t="s">
        <v>23</v>
      </c>
      <c r="C43" s="7">
        <v>10422032</v>
      </c>
      <c r="D43" s="7" t="s">
        <v>125</v>
      </c>
      <c r="E43" s="7" t="s">
        <v>123</v>
      </c>
      <c r="F43" s="6">
        <v>1</v>
      </c>
      <c r="G43" s="7" t="s">
        <v>126</v>
      </c>
      <c r="H43" s="7">
        <v>5</v>
      </c>
      <c r="I43" s="7"/>
      <c r="J43" s="8">
        <f>VLOOKUP(C43,[1]Lab!$C$9:$I$126, 6, FALSE)</f>
        <v>0</v>
      </c>
      <c r="K43" s="8">
        <f>VLOOKUP(C43,[1]Lab!$C$9:$I$126, 7, FALSE)</f>
        <v>0</v>
      </c>
      <c r="L43" s="5">
        <f>_xlfn.IFNA(VLOOKUP(C43, [1]exam!$A$2:$C$115,3,FALSE),0)</f>
        <v>5</v>
      </c>
      <c r="M43" s="9"/>
      <c r="N43" s="9"/>
      <c r="O43">
        <f t="shared" si="0"/>
        <v>5</v>
      </c>
      <c r="P43" s="5">
        <f>J43*0.1+K43*0.1+MIN((L43+N43),10)*0.4+M43*0.4</f>
        <v>2</v>
      </c>
      <c r="Q43" s="10">
        <f>IF(P43*10&lt;50,5,ROUND(3*((100-P43*10)/50)+1,1))</f>
        <v>5</v>
      </c>
      <c r="R43" s="10">
        <f>IF(Q43&gt;4,5,IF((Q43-TRUNC(Q43))&lt;0.3,TRUNC(Q43),IF((Q43-TRUNC(Q43))&gt;=0.7,TRUNC(Q43)+0.7,TRUNC(Q43)+0.3)))</f>
        <v>5</v>
      </c>
      <c r="S43" s="5"/>
    </row>
    <row r="44" spans="1:19" ht="15.6">
      <c r="A44" s="6">
        <v>43</v>
      </c>
      <c r="B44" s="7" t="s">
        <v>23</v>
      </c>
      <c r="C44" s="7">
        <v>10422033</v>
      </c>
      <c r="D44" s="7" t="s">
        <v>127</v>
      </c>
      <c r="E44" s="7" t="s">
        <v>128</v>
      </c>
      <c r="F44" s="6">
        <v>1</v>
      </c>
      <c r="G44" s="7" t="s">
        <v>129</v>
      </c>
      <c r="H44" s="7">
        <v>2.2999999999999998</v>
      </c>
      <c r="I44" s="7"/>
      <c r="J44" s="8">
        <f>VLOOKUP(C44,[1]Lab!$C$9:$I$126, 6, FALSE)</f>
        <v>0</v>
      </c>
      <c r="K44" s="8">
        <f>VLOOKUP(C44,[1]Lab!$C$9:$I$126, 7, FALSE)</f>
        <v>10</v>
      </c>
      <c r="L44" s="5">
        <f>_xlfn.IFNA(VLOOKUP(C44, [1]exam!$A$2:$C$115,3,FALSE),0)</f>
        <v>7</v>
      </c>
      <c r="M44" s="4">
        <v>10</v>
      </c>
      <c r="N44" s="4">
        <v>0</v>
      </c>
      <c r="O44">
        <f t="shared" si="0"/>
        <v>7</v>
      </c>
      <c r="P44" s="5">
        <f>J44*0.1+K44*0.1+MIN((L44+N44),10)*0.4+M44*0.4</f>
        <v>7.8000000000000007</v>
      </c>
      <c r="Q44" s="10">
        <f>IF(P44*10&lt;50,5,ROUND(3*((100-P44*10)/50)+1,1))</f>
        <v>2.2999999999999998</v>
      </c>
      <c r="R44" s="10">
        <f>IF(Q44&gt;4,5,IF((Q44-TRUNC(Q44))&lt;0.3,TRUNC(Q44),IF((Q44-TRUNC(Q44))&gt;=0.7,TRUNC(Q44)+0.7,TRUNC(Q44)+0.3)))</f>
        <v>2.2999999999999998</v>
      </c>
      <c r="S44" s="4" t="s">
        <v>130</v>
      </c>
    </row>
    <row r="45" spans="1:19" ht="15.6">
      <c r="A45" s="6">
        <v>44</v>
      </c>
      <c r="B45" s="7" t="s">
        <v>23</v>
      </c>
      <c r="C45" s="7">
        <v>10422097</v>
      </c>
      <c r="D45" s="7" t="s">
        <v>131</v>
      </c>
      <c r="E45" s="7" t="s">
        <v>128</v>
      </c>
      <c r="F45" s="6">
        <v>1</v>
      </c>
      <c r="G45" s="7" t="s">
        <v>132</v>
      </c>
      <c r="H45" s="7">
        <v>2.7</v>
      </c>
      <c r="I45" s="7"/>
      <c r="J45" s="8">
        <f>VLOOKUP(C45,[1]Lab!$C$9:$I$126, 6, FALSE)</f>
        <v>0</v>
      </c>
      <c r="K45" s="8">
        <f>VLOOKUP(C45,[1]Lab!$C$9:$I$126, 7, FALSE)</f>
        <v>0</v>
      </c>
      <c r="L45" s="5">
        <f>_xlfn.IFNA(VLOOKUP(C45, [1]exam!$A$2:$C$115,3,FALSE),0)</f>
        <v>7</v>
      </c>
      <c r="M45" s="4">
        <v>10</v>
      </c>
      <c r="N45" s="4">
        <v>0</v>
      </c>
      <c r="O45">
        <f t="shared" si="0"/>
        <v>7</v>
      </c>
      <c r="P45" s="5">
        <f>J45*0.1+K45*0.1+MIN((L45+N45),10)*0.4+M45*0.4</f>
        <v>6.8000000000000007</v>
      </c>
      <c r="Q45" s="10">
        <f>IF(P45*10&lt;50,5,ROUND(3*((100-P45*10)/50)+1,1))</f>
        <v>2.9</v>
      </c>
      <c r="R45" s="10">
        <f>IF(Q45&gt;4,5,IF((Q45-TRUNC(Q45))&lt;0.3,TRUNC(Q45),IF((Q45-TRUNC(Q45))&gt;=0.7,TRUNC(Q45)+0.7,TRUNC(Q45)+0.3)))</f>
        <v>2.7</v>
      </c>
      <c r="S45" s="4" t="s">
        <v>133</v>
      </c>
    </row>
    <row r="46" spans="1:19" ht="15.6">
      <c r="A46" s="6">
        <v>45</v>
      </c>
      <c r="B46" s="7" t="s">
        <v>23</v>
      </c>
      <c r="C46" s="7">
        <v>10422098</v>
      </c>
      <c r="D46" s="7" t="s">
        <v>134</v>
      </c>
      <c r="E46" s="7" t="s">
        <v>128</v>
      </c>
      <c r="F46" s="6">
        <v>1</v>
      </c>
      <c r="G46" s="7" t="s">
        <v>135</v>
      </c>
      <c r="H46" s="7">
        <v>2</v>
      </c>
      <c r="I46" s="7"/>
      <c r="J46" s="8">
        <f>VLOOKUP(C46,[1]Lab!$C$9:$I$126, 6, FALSE)</f>
        <v>10</v>
      </c>
      <c r="K46" s="8">
        <f>VLOOKUP(C46,[1]Lab!$C$9:$I$126, 7, FALSE)</f>
        <v>10</v>
      </c>
      <c r="L46" s="5">
        <f>_xlfn.IFNA(VLOOKUP(C46, [1]exam!$A$2:$C$115,3,FALSE),0)</f>
        <v>5.5</v>
      </c>
      <c r="M46" s="4">
        <v>10</v>
      </c>
      <c r="N46" s="4">
        <v>0</v>
      </c>
      <c r="O46">
        <f t="shared" si="0"/>
        <v>5.5</v>
      </c>
      <c r="P46" s="5">
        <f>J46*0.1+K46*0.1+MIN((L46+N46),10)*0.4+M46*0.4</f>
        <v>8.1999999999999993</v>
      </c>
      <c r="Q46" s="10">
        <f>IF(P46*10&lt;50,5,ROUND(3*((100-P46*10)/50)+1,1))</f>
        <v>2.1</v>
      </c>
      <c r="R46" s="10">
        <f>IF(Q46&gt;4,5,IF((Q46-TRUNC(Q46))&lt;0.3,TRUNC(Q46),IF((Q46-TRUNC(Q46))&gt;=0.7,TRUNC(Q46)+0.7,TRUNC(Q46)+0.3)))</f>
        <v>2</v>
      </c>
      <c r="S46" s="4" t="s">
        <v>136</v>
      </c>
    </row>
    <row r="47" spans="1:19" ht="15.6">
      <c r="A47" s="6">
        <v>46</v>
      </c>
      <c r="B47" s="7" t="s">
        <v>23</v>
      </c>
      <c r="C47" s="7">
        <v>10422100</v>
      </c>
      <c r="D47" s="7" t="s">
        <v>82</v>
      </c>
      <c r="E47" s="7" t="s">
        <v>128</v>
      </c>
      <c r="F47" s="6">
        <v>1</v>
      </c>
      <c r="G47" s="7" t="s">
        <v>137</v>
      </c>
      <c r="H47" s="7">
        <v>2</v>
      </c>
      <c r="I47" s="7"/>
      <c r="J47" s="8">
        <f>VLOOKUP(C47,[1]Lab!$C$9:$I$126, 6, FALSE)</f>
        <v>10</v>
      </c>
      <c r="K47" s="8">
        <f>VLOOKUP(C47,[1]Lab!$C$9:$I$126, 7, FALSE)</f>
        <v>10</v>
      </c>
      <c r="L47" s="5">
        <f>_xlfn.IFNA(VLOOKUP(C47, [1]exam!$A$2:$C$115,3,FALSE),0)</f>
        <v>5</v>
      </c>
      <c r="M47" s="4">
        <v>10</v>
      </c>
      <c r="N47" s="5"/>
      <c r="O47">
        <f t="shared" si="0"/>
        <v>5</v>
      </c>
      <c r="P47" s="5">
        <f>J47*0.1+K47*0.1+MIN((L47+N47),10)*0.4+M47*0.4</f>
        <v>8</v>
      </c>
      <c r="Q47" s="10">
        <f>IF(P47*10&lt;50,5,ROUND(3*((100-P47*10)/50)+1,1))</f>
        <v>2.2000000000000002</v>
      </c>
      <c r="R47" s="10">
        <f>IF(Q47&gt;4,5,IF((Q47-TRUNC(Q47))&lt;0.3,TRUNC(Q47),IF((Q47-TRUNC(Q47))&gt;=0.7,TRUNC(Q47)+0.7,TRUNC(Q47)+0.3)))</f>
        <v>2</v>
      </c>
      <c r="S47" s="5"/>
    </row>
    <row r="48" spans="1:19" ht="15.6">
      <c r="A48" s="6">
        <v>47</v>
      </c>
      <c r="B48" s="7" t="s">
        <v>23</v>
      </c>
      <c r="C48" s="7">
        <v>10422101</v>
      </c>
      <c r="D48" s="7" t="s">
        <v>138</v>
      </c>
      <c r="E48" s="7" t="s">
        <v>139</v>
      </c>
      <c r="F48" s="6">
        <v>1</v>
      </c>
      <c r="G48" s="7" t="s">
        <v>140</v>
      </c>
      <c r="H48" s="7">
        <v>2.2999999999999998</v>
      </c>
      <c r="I48" s="7"/>
      <c r="J48" s="8">
        <f>VLOOKUP(C48,[1]Lab!$C$9:$I$126, 6, FALSE)</f>
        <v>10</v>
      </c>
      <c r="K48" s="8">
        <f>VLOOKUP(C48,[1]Lab!$C$9:$I$126, 7, FALSE)</f>
        <v>10</v>
      </c>
      <c r="L48" s="5">
        <f>_xlfn.IFNA(VLOOKUP(C48, [1]exam!$A$2:$C$115,3,FALSE),0)</f>
        <v>7.25</v>
      </c>
      <c r="M48" s="4">
        <v>7</v>
      </c>
      <c r="N48" s="4">
        <v>0</v>
      </c>
      <c r="O48">
        <f t="shared" si="0"/>
        <v>7.25</v>
      </c>
      <c r="P48" s="5">
        <f>J48*0.1+K48*0.1+MIN((L48+N48),10)*0.4+M48*0.4</f>
        <v>7.7000000000000011</v>
      </c>
      <c r="Q48" s="10">
        <f>IF(P48*10&lt;50,5,ROUND(3*((100-P48*10)/50)+1,1))</f>
        <v>2.4</v>
      </c>
      <c r="R48" s="10">
        <f>IF(Q48&gt;4,5,IF((Q48-TRUNC(Q48))&lt;0.3,TRUNC(Q48),IF((Q48-TRUNC(Q48))&gt;=0.7,TRUNC(Q48)+0.7,TRUNC(Q48)+0.3)))</f>
        <v>2.2999999999999998</v>
      </c>
      <c r="S48" s="4" t="s">
        <v>141</v>
      </c>
    </row>
    <row r="49" spans="1:19" ht="15.6">
      <c r="A49" s="6">
        <v>48</v>
      </c>
      <c r="B49" s="7" t="s">
        <v>23</v>
      </c>
      <c r="C49" s="7">
        <v>10422103</v>
      </c>
      <c r="D49" s="7" t="s">
        <v>142</v>
      </c>
      <c r="E49" s="7" t="s">
        <v>143</v>
      </c>
      <c r="F49" s="6">
        <v>1</v>
      </c>
      <c r="G49" s="7" t="s">
        <v>144</v>
      </c>
      <c r="H49" s="7">
        <v>3.3</v>
      </c>
      <c r="I49" s="7"/>
      <c r="J49" s="8">
        <f>VLOOKUP(C49,[1]Lab!$C$9:$I$126, 6, FALSE)</f>
        <v>10</v>
      </c>
      <c r="K49" s="8">
        <f>VLOOKUP(C49,[1]Lab!$C$9:$I$126, 7, FALSE)</f>
        <v>10</v>
      </c>
      <c r="L49" s="5">
        <f>_xlfn.IFNA(VLOOKUP(C49, [1]exam!$A$2:$C$115,3,FALSE),0)</f>
        <v>5.25</v>
      </c>
      <c r="M49" s="4">
        <v>5</v>
      </c>
      <c r="N49" s="5"/>
      <c r="O49">
        <f t="shared" si="0"/>
        <v>5.25</v>
      </c>
      <c r="P49" s="5">
        <f>J49*0.1+K49*0.1+MIN((L49+N49),10)*0.4+M49*0.4</f>
        <v>6.1</v>
      </c>
      <c r="Q49" s="10">
        <f>IF(P49*10&lt;50,5,ROUND(3*((100-P49*10)/50)+1,1))</f>
        <v>3.3</v>
      </c>
      <c r="R49" s="10">
        <f>IF(Q49&gt;4,5,IF((Q49-TRUNC(Q49))&lt;0.3,TRUNC(Q49),IF((Q49-TRUNC(Q49))&gt;=0.7,TRUNC(Q49)+0.7,TRUNC(Q49)+0.3)))</f>
        <v>3.3</v>
      </c>
      <c r="S49" s="4" t="s">
        <v>145</v>
      </c>
    </row>
    <row r="50" spans="1:19" ht="15.6">
      <c r="A50" s="6">
        <v>49</v>
      </c>
      <c r="B50" s="7" t="s">
        <v>23</v>
      </c>
      <c r="C50" s="7">
        <v>10421026</v>
      </c>
      <c r="D50" s="7" t="s">
        <v>146</v>
      </c>
      <c r="E50" s="7" t="s">
        <v>147</v>
      </c>
      <c r="F50" s="6">
        <v>1</v>
      </c>
      <c r="G50" s="7" t="s">
        <v>148</v>
      </c>
      <c r="H50" s="7">
        <v>5</v>
      </c>
      <c r="I50" s="7"/>
      <c r="J50" s="8">
        <f>VLOOKUP(C50,[1]Lab!$C$9:$I$126, 6, FALSE)</f>
        <v>10</v>
      </c>
      <c r="K50" s="8">
        <f>VLOOKUP(C50,[1]Lab!$C$9:$I$126, 7, FALSE)</f>
        <v>10</v>
      </c>
      <c r="L50" s="5">
        <f>_xlfn.IFNA(VLOOKUP(C50, [1]exam!$A$2:$C$115,3,FALSE),0)</f>
        <v>7.25</v>
      </c>
      <c r="M50" s="11"/>
      <c r="N50" s="11"/>
      <c r="O50">
        <f t="shared" si="0"/>
        <v>7.25</v>
      </c>
      <c r="P50" s="5">
        <f>J50*0.1+K50*0.1+MIN((L50+N50),10)*0.4+M50*0.4</f>
        <v>4.9000000000000004</v>
      </c>
      <c r="Q50" s="10">
        <f>IF(P50*10&lt;50,5,ROUND(3*((100-P50*10)/50)+1,1))</f>
        <v>5</v>
      </c>
      <c r="R50" s="10">
        <f>IF(Q50&gt;4,5,IF((Q50-TRUNC(Q50))&lt;0.3,TRUNC(Q50),IF((Q50-TRUNC(Q50))&gt;=0.7,TRUNC(Q50)+0.7,TRUNC(Q50)+0.3)))</f>
        <v>5</v>
      </c>
      <c r="S50" s="4" t="s">
        <v>149</v>
      </c>
    </row>
    <row r="51" spans="1:19" ht="15.6">
      <c r="A51" s="6">
        <v>50</v>
      </c>
      <c r="B51" s="7" t="s">
        <v>23</v>
      </c>
      <c r="C51" s="7">
        <v>10422035</v>
      </c>
      <c r="D51" s="7" t="s">
        <v>150</v>
      </c>
      <c r="E51" s="7" t="s">
        <v>147</v>
      </c>
      <c r="F51" s="6">
        <v>1</v>
      </c>
      <c r="G51" s="7" t="s">
        <v>151</v>
      </c>
      <c r="H51" s="7">
        <v>2</v>
      </c>
      <c r="I51" s="7"/>
      <c r="J51" s="8">
        <f>VLOOKUP(C51,[1]Lab!$C$9:$I$126, 6, FALSE)</f>
        <v>0</v>
      </c>
      <c r="K51" s="8">
        <f>VLOOKUP(C51,[1]Lab!$C$9:$I$126, 7, FALSE)</f>
        <v>10</v>
      </c>
      <c r="L51" s="5">
        <f>_xlfn.IFNA(VLOOKUP(C51, [1]exam!$A$2:$C$115,3,FALSE),0)</f>
        <v>7.5</v>
      </c>
      <c r="M51" s="4">
        <v>10</v>
      </c>
      <c r="N51" s="5"/>
      <c r="O51">
        <f t="shared" si="0"/>
        <v>7.5</v>
      </c>
      <c r="P51" s="5">
        <f>J51*0.1+K51*0.1+MIN((L51+N51),10)*0.4+M51*0.4</f>
        <v>8</v>
      </c>
      <c r="Q51" s="10">
        <f>IF(P51*10&lt;50,5,ROUND(3*((100-P51*10)/50)+1,1))</f>
        <v>2.2000000000000002</v>
      </c>
      <c r="R51" s="10">
        <f>IF(Q51&gt;4,5,IF((Q51-TRUNC(Q51))&lt;0.3,TRUNC(Q51),IF((Q51-TRUNC(Q51))&gt;=0.7,TRUNC(Q51)+0.7,TRUNC(Q51)+0.3)))</f>
        <v>2</v>
      </c>
      <c r="S51" s="5"/>
    </row>
    <row r="52" spans="1:19" ht="15.6">
      <c r="A52" s="6">
        <v>51</v>
      </c>
      <c r="B52" s="7" t="s">
        <v>23</v>
      </c>
      <c r="C52" s="7">
        <v>10422036</v>
      </c>
      <c r="D52" s="7" t="s">
        <v>152</v>
      </c>
      <c r="E52" s="7" t="s">
        <v>147</v>
      </c>
      <c r="F52" s="6">
        <v>1</v>
      </c>
      <c r="G52" s="7" t="s">
        <v>153</v>
      </c>
      <c r="H52" s="7">
        <v>2</v>
      </c>
      <c r="I52" s="7"/>
      <c r="J52" s="8">
        <f>VLOOKUP(C52,[1]Lab!$C$9:$I$126, 6, FALSE)</f>
        <v>10</v>
      </c>
      <c r="K52" s="8">
        <f>VLOOKUP(C52,[1]Lab!$C$9:$I$126, 7, FALSE)</f>
        <v>10</v>
      </c>
      <c r="L52" s="5">
        <f>_xlfn.IFNA(VLOOKUP(C52, [1]exam!$A$2:$C$115,3,FALSE),0)</f>
        <v>6</v>
      </c>
      <c r="M52" s="25">
        <v>10</v>
      </c>
      <c r="N52" s="25">
        <v>0</v>
      </c>
      <c r="O52">
        <f t="shared" si="0"/>
        <v>6</v>
      </c>
      <c r="P52" s="5">
        <f>J52*0.1+K52*0.1+MIN((L52+N52),10)*0.4+M52*0.4</f>
        <v>8.4</v>
      </c>
      <c r="Q52" s="10">
        <f>IF(P52*10&lt;50,5,ROUND(3*((100-P52*10)/50)+1,1))</f>
        <v>2</v>
      </c>
      <c r="R52" s="10">
        <f>IF(Q52&gt;4,5,IF((Q52-TRUNC(Q52))&lt;0.3,TRUNC(Q52),IF((Q52-TRUNC(Q52))&gt;=0.7,TRUNC(Q52)+0.7,TRUNC(Q52)+0.3)))</f>
        <v>2</v>
      </c>
      <c r="S52" s="4" t="s">
        <v>154</v>
      </c>
    </row>
    <row r="53" spans="1:19" ht="15.6">
      <c r="A53" s="6">
        <v>52</v>
      </c>
      <c r="B53" s="7" t="s">
        <v>23</v>
      </c>
      <c r="C53" s="7">
        <v>10422037</v>
      </c>
      <c r="D53" s="7" t="s">
        <v>155</v>
      </c>
      <c r="E53" s="7" t="s">
        <v>147</v>
      </c>
      <c r="F53" s="6">
        <v>1</v>
      </c>
      <c r="G53" s="7" t="s">
        <v>156</v>
      </c>
      <c r="H53" s="7">
        <v>3.7</v>
      </c>
      <c r="I53" s="7"/>
      <c r="J53" s="8">
        <f>VLOOKUP(C53,[1]Lab!$C$9:$I$126, 6, FALSE)</f>
        <v>0</v>
      </c>
      <c r="K53" s="8">
        <f>VLOOKUP(C53,[1]Lab!$C$9:$I$126, 7, FALSE)</f>
        <v>0</v>
      </c>
      <c r="L53" s="5">
        <f>_xlfn.IFNA(VLOOKUP(C53, [1]exam!$A$2:$C$115,3,FALSE),0)</f>
        <v>5.75</v>
      </c>
      <c r="M53" s="4">
        <v>8</v>
      </c>
      <c r="N53" s="5"/>
      <c r="O53">
        <f t="shared" si="0"/>
        <v>5.75</v>
      </c>
      <c r="P53" s="5">
        <f>J53*0.1+K53*0.1+MIN((L53+N53),10)*0.4+M53*0.4</f>
        <v>5.5</v>
      </c>
      <c r="Q53" s="10">
        <f>IF(P53*10&lt;50,5,ROUND(3*((100-P53*10)/50)+1,1))</f>
        <v>3.7</v>
      </c>
      <c r="R53" s="10">
        <f>IF(Q53&gt;4,5,IF((Q53-TRUNC(Q53))&lt;0.3,TRUNC(Q53),IF((Q53-TRUNC(Q53))&gt;=0.7,TRUNC(Q53)+0.7,TRUNC(Q53)+0.3)))</f>
        <v>3.7</v>
      </c>
      <c r="S53" s="4" t="s">
        <v>157</v>
      </c>
    </row>
    <row r="54" spans="1:19" ht="15.6">
      <c r="A54" s="6">
        <v>53</v>
      </c>
      <c r="B54" s="7" t="s">
        <v>23</v>
      </c>
      <c r="C54" s="7">
        <v>10422104</v>
      </c>
      <c r="D54" s="7" t="s">
        <v>158</v>
      </c>
      <c r="E54" s="7" t="s">
        <v>147</v>
      </c>
      <c r="F54" s="6">
        <v>1</v>
      </c>
      <c r="G54" s="7" t="s">
        <v>159</v>
      </c>
      <c r="H54" s="7">
        <v>5</v>
      </c>
      <c r="I54" s="7" t="s">
        <v>118</v>
      </c>
      <c r="J54" s="8">
        <f>VLOOKUP(C54,[1]Lab!$C$9:$I$126, 6, FALSE)</f>
        <v>0</v>
      </c>
      <c r="K54" s="24"/>
      <c r="L54" s="5">
        <f>_xlfn.IFNA(VLOOKUP(C54, [1]exam!$A$2:$C$115,3,FALSE),0)</f>
        <v>0</v>
      </c>
      <c r="M54" s="5"/>
      <c r="N54" s="5"/>
      <c r="O54">
        <f t="shared" si="0"/>
        <v>0</v>
      </c>
      <c r="P54" s="5">
        <f>J54*0.1+K54*0.1+MIN((L54+N54),10)*0.4+M54*0.4</f>
        <v>0</v>
      </c>
      <c r="Q54" s="10">
        <f>IF(P54*10&lt;50,5,ROUND(3*((100-P54*10)/50)+1,1))</f>
        <v>5</v>
      </c>
      <c r="R54" s="10">
        <f>IF(Q54&gt;4,5,IF((Q54-TRUNC(Q54))&lt;0.3,TRUNC(Q54),IF((Q54-TRUNC(Q54))&gt;=0.7,TRUNC(Q54)+0.7,TRUNC(Q54)+0.3)))</f>
        <v>5</v>
      </c>
      <c r="S54" s="5"/>
    </row>
    <row r="55" spans="1:19" ht="15.6">
      <c r="A55" s="6">
        <v>54</v>
      </c>
      <c r="B55" s="7" t="s">
        <v>23</v>
      </c>
      <c r="C55" s="7">
        <v>10422039</v>
      </c>
      <c r="D55" s="7" t="s">
        <v>160</v>
      </c>
      <c r="E55" s="7" t="s">
        <v>161</v>
      </c>
      <c r="F55" s="6">
        <v>1</v>
      </c>
      <c r="G55" s="7" t="s">
        <v>162</v>
      </c>
      <c r="H55" s="7">
        <v>1.3</v>
      </c>
      <c r="I55" s="7"/>
      <c r="J55" s="8">
        <f>VLOOKUP(C55,[1]Lab!$C$9:$I$126, 6, FALSE)</f>
        <v>10</v>
      </c>
      <c r="K55" s="8">
        <f>VLOOKUP(C55,[1]Lab!$C$9:$I$126, 7, FALSE)</f>
        <v>10</v>
      </c>
      <c r="L55" s="5">
        <f>_xlfn.IFNA(VLOOKUP(C55, [1]exam!$A$2:$C$115,3,FALSE),0)</f>
        <v>7.25</v>
      </c>
      <c r="M55" s="4">
        <v>10</v>
      </c>
      <c r="N55" s="4">
        <v>1</v>
      </c>
      <c r="O55">
        <f t="shared" si="0"/>
        <v>8.25</v>
      </c>
      <c r="P55" s="5">
        <f>J55*0.1+K55*0.1+MIN((L55+N55),10)*0.4+M55*0.4</f>
        <v>9.3000000000000007</v>
      </c>
      <c r="Q55" s="10">
        <f>IF(P55*10&lt;50,5,ROUND(3*((100-P55*10)/50)+1,1))</f>
        <v>1.4</v>
      </c>
      <c r="R55" s="10">
        <f>IF(Q55&gt;4,5,IF((Q55-TRUNC(Q55))&lt;0.3,TRUNC(Q55),IF((Q55-TRUNC(Q55))&gt;=0.7,TRUNC(Q55)+0.7,TRUNC(Q55)+0.3)))</f>
        <v>1.3</v>
      </c>
      <c r="S55" s="5"/>
    </row>
    <row r="56" spans="1:19" ht="15.6">
      <c r="A56" s="6">
        <v>55</v>
      </c>
      <c r="B56" s="7" t="s">
        <v>23</v>
      </c>
      <c r="C56" s="7">
        <v>10422040</v>
      </c>
      <c r="D56" s="7" t="s">
        <v>163</v>
      </c>
      <c r="E56" s="7" t="s">
        <v>164</v>
      </c>
      <c r="F56" s="6">
        <v>1</v>
      </c>
      <c r="G56" s="7" t="s">
        <v>165</v>
      </c>
      <c r="H56" s="7">
        <v>1.3</v>
      </c>
      <c r="I56" s="7"/>
      <c r="J56" s="8">
        <f>VLOOKUP(C56,[1]Lab!$C$9:$I$126, 6, FALSE)</f>
        <v>10</v>
      </c>
      <c r="K56" s="8">
        <f>VLOOKUP(C56,[1]Lab!$C$9:$I$126, 7, FALSE)</f>
        <v>10</v>
      </c>
      <c r="L56" s="5">
        <f>_xlfn.IFNA(VLOOKUP(C56, [1]exam!$A$2:$C$115,3,FALSE),0)</f>
        <v>7</v>
      </c>
      <c r="M56" s="4">
        <v>10</v>
      </c>
      <c r="N56" s="4">
        <v>1</v>
      </c>
      <c r="O56">
        <f t="shared" si="0"/>
        <v>8</v>
      </c>
      <c r="P56" s="5">
        <f>J56*0.1+K56*0.1+MIN((L56+N56),10)*0.4+M56*0.4</f>
        <v>9.1999999999999993</v>
      </c>
      <c r="Q56" s="10">
        <f>IF(P56*10&lt;50,5,ROUND(3*((100-P56*10)/50)+1,1))</f>
        <v>1.5</v>
      </c>
      <c r="R56" s="10">
        <f>IF(Q56&gt;4,5,IF((Q56-TRUNC(Q56))&lt;0.3,TRUNC(Q56),IF((Q56-TRUNC(Q56))&gt;=0.7,TRUNC(Q56)+0.7,TRUNC(Q56)+0.3)))</f>
        <v>1.3</v>
      </c>
      <c r="S56" s="4" t="s">
        <v>166</v>
      </c>
    </row>
    <row r="57" spans="1:19" ht="15.6">
      <c r="A57" s="6">
        <v>56</v>
      </c>
      <c r="B57" s="7" t="s">
        <v>23</v>
      </c>
      <c r="C57" s="7">
        <v>10422041</v>
      </c>
      <c r="D57" s="7" t="s">
        <v>167</v>
      </c>
      <c r="E57" s="7" t="s">
        <v>168</v>
      </c>
      <c r="F57" s="6">
        <v>1</v>
      </c>
      <c r="G57" s="7" t="s">
        <v>169</v>
      </c>
      <c r="H57" s="7">
        <v>2.2999999999999998</v>
      </c>
      <c r="I57" s="7"/>
      <c r="J57" s="8">
        <f>VLOOKUP(C57,[1]Lab!$C$9:$I$126, 6, FALSE)</f>
        <v>0</v>
      </c>
      <c r="K57" s="8">
        <f>VLOOKUP(C57,[1]Lab!$C$9:$I$126, 7, FALSE)</f>
        <v>10</v>
      </c>
      <c r="L57" s="5">
        <f>_xlfn.IFNA(VLOOKUP(C57, [1]exam!$A$2:$C$115,3,FALSE),0)</f>
        <v>6.5</v>
      </c>
      <c r="M57" s="4">
        <v>9</v>
      </c>
      <c r="N57" s="4">
        <v>1</v>
      </c>
      <c r="O57">
        <f t="shared" si="0"/>
        <v>7.5</v>
      </c>
      <c r="P57" s="5">
        <f>J57*0.1+K57*0.1+MIN((L57+N57),10)*0.4+M57*0.4</f>
        <v>7.6</v>
      </c>
      <c r="Q57" s="10">
        <f>IF(P57*10&lt;50,5,ROUND(3*((100-P57*10)/50)+1,1))</f>
        <v>2.4</v>
      </c>
      <c r="R57" s="10">
        <f>IF(Q57&gt;4,5,IF((Q57-TRUNC(Q57))&lt;0.3,TRUNC(Q57),IF((Q57-TRUNC(Q57))&gt;=0.7,TRUNC(Q57)+0.7,TRUNC(Q57)+0.3)))</f>
        <v>2.2999999999999998</v>
      </c>
      <c r="S57" s="4" t="s">
        <v>170</v>
      </c>
    </row>
    <row r="58" spans="1:19" ht="15.6">
      <c r="A58" s="6">
        <v>57</v>
      </c>
      <c r="B58" s="7" t="s">
        <v>23</v>
      </c>
      <c r="C58" s="7">
        <v>10422042</v>
      </c>
      <c r="D58" s="7" t="s">
        <v>171</v>
      </c>
      <c r="E58" s="7" t="s">
        <v>172</v>
      </c>
      <c r="F58" s="6">
        <v>1</v>
      </c>
      <c r="G58" s="7" t="s">
        <v>173</v>
      </c>
      <c r="H58" s="7">
        <v>2.2999999999999998</v>
      </c>
      <c r="I58" s="7"/>
      <c r="J58" s="8">
        <f>VLOOKUP(C58,[1]Lab!$C$9:$I$126, 6, FALSE)</f>
        <v>0</v>
      </c>
      <c r="K58" s="8">
        <f>VLOOKUP(C58,[1]Lab!$C$9:$I$126, 7, FALSE)</f>
        <v>10</v>
      </c>
      <c r="L58" s="5">
        <f>_xlfn.IFNA(VLOOKUP(C58, [1]exam!$A$2:$C$115,3,FALSE),0)</f>
        <v>7</v>
      </c>
      <c r="M58" s="4">
        <v>10</v>
      </c>
      <c r="N58" s="4">
        <v>0</v>
      </c>
      <c r="O58">
        <f t="shared" si="0"/>
        <v>7</v>
      </c>
      <c r="P58" s="5">
        <f>J58*0.1+K58*0.1+MIN((L58+N58),10)*0.4+M58*0.4</f>
        <v>7.8000000000000007</v>
      </c>
      <c r="Q58" s="10">
        <f>IF(P58*10&lt;50,5,ROUND(3*((100-P58*10)/50)+1,1))</f>
        <v>2.2999999999999998</v>
      </c>
      <c r="R58" s="10">
        <f>IF(Q58&gt;4,5,IF((Q58-TRUNC(Q58))&lt;0.3,TRUNC(Q58),IF((Q58-TRUNC(Q58))&gt;=0.7,TRUNC(Q58)+0.7,TRUNC(Q58)+0.3)))</f>
        <v>2.2999999999999998</v>
      </c>
      <c r="S58" s="4" t="s">
        <v>174</v>
      </c>
    </row>
    <row r="59" spans="1:19" ht="15.6">
      <c r="A59" s="6">
        <v>58</v>
      </c>
      <c r="B59" s="7" t="s">
        <v>23</v>
      </c>
      <c r="C59" s="7">
        <v>10422105</v>
      </c>
      <c r="D59" s="7" t="s">
        <v>175</v>
      </c>
      <c r="E59" s="7" t="s">
        <v>172</v>
      </c>
      <c r="F59" s="6">
        <v>1</v>
      </c>
      <c r="G59" s="7" t="s">
        <v>176</v>
      </c>
      <c r="H59" s="7">
        <v>2</v>
      </c>
      <c r="I59" s="7"/>
      <c r="J59" s="8">
        <f>VLOOKUP(C59,[1]Lab!$C$9:$I$126, 6, FALSE)</f>
        <v>6</v>
      </c>
      <c r="K59" s="8">
        <f>VLOOKUP(C59,[1]Lab!$C$9:$I$126, 7, FALSE)</f>
        <v>10</v>
      </c>
      <c r="L59" s="5">
        <f>_xlfn.IFNA(VLOOKUP(C59, [1]exam!$A$2:$C$115,3,FALSE),0)</f>
        <v>7</v>
      </c>
      <c r="M59" s="4">
        <v>9</v>
      </c>
      <c r="N59" s="5"/>
      <c r="O59">
        <f t="shared" si="0"/>
        <v>7</v>
      </c>
      <c r="P59" s="5">
        <f>J59*0.1+K59*0.1+MIN((L59+N59),10)*0.4+M59*0.4</f>
        <v>8</v>
      </c>
      <c r="Q59" s="10">
        <f>IF(P59*10&lt;50,5,ROUND(3*((100-P59*10)/50)+1,1))</f>
        <v>2.2000000000000002</v>
      </c>
      <c r="R59" s="10">
        <f>IF(Q59&gt;4,5,IF((Q59-TRUNC(Q59))&lt;0.3,TRUNC(Q59),IF((Q59-TRUNC(Q59))&gt;=0.7,TRUNC(Q59)+0.7,TRUNC(Q59)+0.3)))</f>
        <v>2</v>
      </c>
      <c r="S59" s="4" t="s">
        <v>177</v>
      </c>
    </row>
    <row r="60" spans="1:19" ht="15.6">
      <c r="A60" s="6">
        <v>59</v>
      </c>
      <c r="B60" s="7" t="s">
        <v>23</v>
      </c>
      <c r="C60" s="7">
        <v>10422043</v>
      </c>
      <c r="D60" s="7" t="s">
        <v>178</v>
      </c>
      <c r="E60" s="7" t="s">
        <v>179</v>
      </c>
      <c r="F60" s="6">
        <v>1</v>
      </c>
      <c r="G60" s="7" t="s">
        <v>180</v>
      </c>
      <c r="H60" s="7">
        <v>2.2999999999999998</v>
      </c>
      <c r="I60" s="7"/>
      <c r="J60" s="8">
        <f>VLOOKUP(C60,[1]Lab!$C$9:$I$126, 6, FALSE)</f>
        <v>10</v>
      </c>
      <c r="K60" s="8">
        <f>VLOOKUP(C60,[1]Lab!$C$9:$I$126, 7, FALSE)</f>
        <v>10</v>
      </c>
      <c r="L60" s="5">
        <f>_xlfn.IFNA(VLOOKUP(C60, [1]exam!$A$2:$C$115,3,FALSE),0)</f>
        <v>6</v>
      </c>
      <c r="M60" s="4">
        <v>8</v>
      </c>
      <c r="N60" s="5"/>
      <c r="O60">
        <f t="shared" si="0"/>
        <v>6</v>
      </c>
      <c r="P60" s="5">
        <f>J60*0.1+K60*0.1+MIN((L60+N60),10)*0.4+M60*0.4</f>
        <v>7.6000000000000005</v>
      </c>
      <c r="Q60" s="10">
        <f>IF(P60*10&lt;50,5,ROUND(3*((100-P60*10)/50)+1,1))</f>
        <v>2.4</v>
      </c>
      <c r="R60" s="10">
        <f>IF(Q60&gt;4,5,IF((Q60-TRUNC(Q60))&lt;0.3,TRUNC(Q60),IF((Q60-TRUNC(Q60))&gt;=0.7,TRUNC(Q60)+0.7,TRUNC(Q60)+0.3)))</f>
        <v>2.2999999999999998</v>
      </c>
      <c r="S60" s="5"/>
    </row>
    <row r="61" spans="1:19" ht="15.6">
      <c r="A61" s="6">
        <v>60</v>
      </c>
      <c r="B61" s="7" t="s">
        <v>23</v>
      </c>
      <c r="C61" s="7">
        <v>10422106</v>
      </c>
      <c r="D61" s="7" t="s">
        <v>181</v>
      </c>
      <c r="E61" s="7" t="s">
        <v>182</v>
      </c>
      <c r="F61" s="6">
        <v>1</v>
      </c>
      <c r="G61" s="7" t="s">
        <v>183</v>
      </c>
      <c r="H61" s="7">
        <v>2</v>
      </c>
      <c r="I61" s="7"/>
      <c r="J61" s="8">
        <f>VLOOKUP(C61,[1]Lab!$C$9:$I$126, 6, FALSE)</f>
        <v>10</v>
      </c>
      <c r="K61" s="8">
        <f>VLOOKUP(C61,[1]Lab!$C$9:$I$126, 7, FALSE)</f>
        <v>10</v>
      </c>
      <c r="L61" s="5">
        <f>_xlfn.IFNA(VLOOKUP(C61, [1]exam!$A$2:$C$115,3,FALSE),0)</f>
        <v>5.5</v>
      </c>
      <c r="M61" s="25">
        <v>10</v>
      </c>
      <c r="N61" s="5"/>
      <c r="O61">
        <f t="shared" si="0"/>
        <v>5.5</v>
      </c>
      <c r="P61" s="5">
        <f>J61*0.1+K61*0.1+MIN((L61+N61),10)*0.4+M61*0.4</f>
        <v>8.1999999999999993</v>
      </c>
      <c r="Q61" s="10">
        <f>IF(P61*10&lt;50,5,ROUND(3*((100-P61*10)/50)+1,1))</f>
        <v>2.1</v>
      </c>
      <c r="R61" s="10">
        <f>IF(Q61&gt;4,5,IF((Q61-TRUNC(Q61))&lt;0.3,TRUNC(Q61),IF((Q61-TRUNC(Q61))&gt;=0.7,TRUNC(Q61)+0.7,TRUNC(Q61)+0.3)))</f>
        <v>2</v>
      </c>
      <c r="S61" s="4"/>
    </row>
    <row r="62" spans="1:19" ht="15.6">
      <c r="A62" s="6">
        <v>61</v>
      </c>
      <c r="B62" s="7" t="s">
        <v>23</v>
      </c>
      <c r="C62" s="7">
        <v>10422044</v>
      </c>
      <c r="D62" s="7" t="s">
        <v>184</v>
      </c>
      <c r="E62" s="7" t="s">
        <v>185</v>
      </c>
      <c r="F62" s="6">
        <v>1</v>
      </c>
      <c r="G62" s="7" t="s">
        <v>186</v>
      </c>
      <c r="H62" s="7">
        <v>1.7</v>
      </c>
      <c r="I62" s="7"/>
      <c r="J62" s="8">
        <f>VLOOKUP(C62,[1]Lab!$C$9:$I$126, 6, FALSE)</f>
        <v>10</v>
      </c>
      <c r="K62" s="8">
        <f>VLOOKUP(C62,[1]Lab!$C$9:$I$126, 7, FALSE)</f>
        <v>10</v>
      </c>
      <c r="L62" s="5">
        <f>_xlfn.IFNA(VLOOKUP(C62, [1]exam!$A$2:$C$115,3,FALSE),0)</f>
        <v>7</v>
      </c>
      <c r="M62" s="4">
        <v>10</v>
      </c>
      <c r="N62" s="5"/>
      <c r="O62">
        <f t="shared" si="0"/>
        <v>7</v>
      </c>
      <c r="P62" s="5">
        <f>J62*0.1+K62*0.1+MIN((L62+N62),10)*0.4+M62*0.4</f>
        <v>8.8000000000000007</v>
      </c>
      <c r="Q62" s="10">
        <f>IF(P62*10&lt;50,5,ROUND(3*((100-P62*10)/50)+1,1))</f>
        <v>1.7</v>
      </c>
      <c r="R62" s="10">
        <f>IF(Q62&gt;4,5,IF((Q62-TRUNC(Q62))&lt;0.3,TRUNC(Q62),IF((Q62-TRUNC(Q62))&gt;=0.7,TRUNC(Q62)+0.7,TRUNC(Q62)+0.3)))</f>
        <v>1.7</v>
      </c>
      <c r="S62" s="5"/>
    </row>
    <row r="63" spans="1:19" ht="15.6">
      <c r="A63" s="6">
        <v>62</v>
      </c>
      <c r="B63" s="7" t="s">
        <v>23</v>
      </c>
      <c r="C63" s="7">
        <v>10422045</v>
      </c>
      <c r="D63" s="7" t="s">
        <v>187</v>
      </c>
      <c r="E63" s="7" t="s">
        <v>185</v>
      </c>
      <c r="F63" s="6">
        <v>1</v>
      </c>
      <c r="G63" s="7" t="s">
        <v>188</v>
      </c>
      <c r="H63" s="7">
        <v>1.7</v>
      </c>
      <c r="I63" s="7"/>
      <c r="J63" s="8">
        <f>VLOOKUP(C63,[1]Lab!$C$9:$I$126, 6, FALSE)</f>
        <v>10</v>
      </c>
      <c r="K63" s="8">
        <f>VLOOKUP(C63,[1]Lab!$C$9:$I$126, 7, FALSE)</f>
        <v>10</v>
      </c>
      <c r="L63" s="5">
        <f>_xlfn.IFNA(VLOOKUP(C63, [1]exam!$A$2:$C$115,3,FALSE),0)</f>
        <v>7.25</v>
      </c>
      <c r="M63" s="4">
        <v>10</v>
      </c>
      <c r="N63" s="5"/>
      <c r="O63">
        <f t="shared" si="0"/>
        <v>7.25</v>
      </c>
      <c r="P63" s="5">
        <f>J63*0.1+K63*0.1+MIN((L63+N63),10)*0.4+M63*0.4</f>
        <v>8.9</v>
      </c>
      <c r="Q63" s="10">
        <f>IF(P63*10&lt;50,5,ROUND(3*((100-P63*10)/50)+1,1))</f>
        <v>1.7</v>
      </c>
      <c r="R63" s="10">
        <f>IF(Q63&gt;4,5,IF((Q63-TRUNC(Q63))&lt;0.3,TRUNC(Q63),IF((Q63-TRUNC(Q63))&gt;=0.7,TRUNC(Q63)+0.7,TRUNC(Q63)+0.3)))</f>
        <v>1.7</v>
      </c>
      <c r="S63" s="5"/>
    </row>
    <row r="64" spans="1:19" ht="15.6">
      <c r="A64" s="6">
        <v>63</v>
      </c>
      <c r="B64" s="7" t="s">
        <v>23</v>
      </c>
      <c r="C64" s="7">
        <v>10422046</v>
      </c>
      <c r="D64" s="7" t="s">
        <v>189</v>
      </c>
      <c r="E64" s="7" t="s">
        <v>185</v>
      </c>
      <c r="F64" s="6">
        <v>1</v>
      </c>
      <c r="G64" s="7" t="s">
        <v>190</v>
      </c>
      <c r="H64" s="7">
        <v>2</v>
      </c>
      <c r="I64" s="7"/>
      <c r="J64" s="8">
        <f>VLOOKUP(C64,[1]Lab!$C$9:$I$126, 6, FALSE)</f>
        <v>10</v>
      </c>
      <c r="K64" s="8">
        <f>VLOOKUP(C64,[1]Lab!$C$9:$I$126, 7, FALSE)</f>
        <v>10</v>
      </c>
      <c r="L64" s="5">
        <f>_xlfn.IFNA(VLOOKUP(C64, [1]exam!$A$2:$C$115,3,FALSE),0)</f>
        <v>5.75</v>
      </c>
      <c r="M64" s="4">
        <v>10</v>
      </c>
      <c r="N64" s="5"/>
      <c r="O64">
        <f t="shared" si="0"/>
        <v>5.75</v>
      </c>
      <c r="P64" s="5">
        <f>J64*0.1+K64*0.1+MIN((L64+N64),10)*0.4+M64*0.4</f>
        <v>8.3000000000000007</v>
      </c>
      <c r="Q64" s="10">
        <f>IF(P64*10&lt;50,5,ROUND(3*((100-P64*10)/50)+1,1))</f>
        <v>2</v>
      </c>
      <c r="R64" s="10">
        <f>IF(Q64&gt;4,5,IF((Q64-TRUNC(Q64))&lt;0.3,TRUNC(Q64),IF((Q64-TRUNC(Q64))&gt;=0.7,TRUNC(Q64)+0.7,TRUNC(Q64)+0.3)))</f>
        <v>2</v>
      </c>
      <c r="S64" s="4" t="s">
        <v>191</v>
      </c>
    </row>
    <row r="65" spans="1:19" ht="15.6">
      <c r="A65" s="6">
        <v>64</v>
      </c>
      <c r="B65" s="7" t="s">
        <v>23</v>
      </c>
      <c r="C65" s="7">
        <v>10422047</v>
      </c>
      <c r="D65" s="7" t="s">
        <v>24</v>
      </c>
      <c r="E65" s="7" t="s">
        <v>192</v>
      </c>
      <c r="F65" s="6">
        <v>1</v>
      </c>
      <c r="G65" s="7" t="s">
        <v>193</v>
      </c>
      <c r="H65" s="7">
        <v>1.3</v>
      </c>
      <c r="I65" s="7"/>
      <c r="J65" s="8">
        <f>VLOOKUP(C65,[1]Lab!$C$9:$I$126, 6, FALSE)</f>
        <v>10</v>
      </c>
      <c r="K65" s="8">
        <f>VLOOKUP(C65,[1]Lab!$C$9:$I$126, 7, FALSE)</f>
        <v>10</v>
      </c>
      <c r="L65" s="5">
        <f>_xlfn.IFNA(VLOOKUP(C65, [1]exam!$A$2:$C$115,3,FALSE),0)</f>
        <v>6.75</v>
      </c>
      <c r="M65" s="4">
        <v>10</v>
      </c>
      <c r="N65" s="4">
        <v>1</v>
      </c>
      <c r="O65">
        <f t="shared" si="0"/>
        <v>7.75</v>
      </c>
      <c r="P65" s="5">
        <f>J65*0.1+K65*0.1+MIN((L65+N65),10)*0.4+M65*0.4</f>
        <v>9.1</v>
      </c>
      <c r="Q65" s="10">
        <f>IF(P65*10&lt;50,5,ROUND(3*((100-P65*10)/50)+1,1))</f>
        <v>1.5</v>
      </c>
      <c r="R65" s="10">
        <f>IF(Q65&gt;4,5,IF((Q65-TRUNC(Q65))&lt;0.3,TRUNC(Q65),IF((Q65-TRUNC(Q65))&gt;=0.7,TRUNC(Q65)+0.7,TRUNC(Q65)+0.3)))</f>
        <v>1.3</v>
      </c>
      <c r="S65" s="5"/>
    </row>
    <row r="66" spans="1:19" ht="15.6">
      <c r="A66" s="6">
        <v>65</v>
      </c>
      <c r="B66" s="7" t="s">
        <v>23</v>
      </c>
      <c r="C66" s="7">
        <v>10422049</v>
      </c>
      <c r="D66" s="7" t="s">
        <v>194</v>
      </c>
      <c r="E66" s="7" t="s">
        <v>195</v>
      </c>
      <c r="F66" s="6">
        <v>1</v>
      </c>
      <c r="G66" s="7" t="s">
        <v>196</v>
      </c>
      <c r="H66" s="7">
        <v>2.2999999999999998</v>
      </c>
      <c r="I66" s="7"/>
      <c r="J66" s="8">
        <f>VLOOKUP(C66,[1]Lab!$C$9:$I$126, 6, FALSE)</f>
        <v>0</v>
      </c>
      <c r="K66" s="8">
        <f>VLOOKUP(C66,[1]Lab!$C$9:$I$126, 7, FALSE)</f>
        <v>10</v>
      </c>
      <c r="L66" s="5">
        <f>_xlfn.IFNA(VLOOKUP(C66, [1]exam!$A$2:$C$115,3,FALSE),0)</f>
        <v>8.75</v>
      </c>
      <c r="M66" s="4">
        <v>7</v>
      </c>
      <c r="N66" s="5"/>
      <c r="O66">
        <f t="shared" si="0"/>
        <v>8.75</v>
      </c>
      <c r="P66" s="5">
        <f>J66*0.1+K66*0.1+MIN((L66+N66),10)*0.4+M66*0.4</f>
        <v>7.3000000000000007</v>
      </c>
      <c r="Q66" s="10">
        <f>IF(P66*10&lt;50,5,ROUND(3*((100-P66*10)/50)+1,1))</f>
        <v>2.6</v>
      </c>
      <c r="R66" s="10">
        <f>IF(Q66&gt;4,5,IF((Q66-TRUNC(Q66))&lt;0.3,TRUNC(Q66),IF((Q66-TRUNC(Q66))&gt;=0.7,TRUNC(Q66)+0.7,TRUNC(Q66)+0.3)))</f>
        <v>2.2999999999999998</v>
      </c>
      <c r="S66" s="4" t="s">
        <v>197</v>
      </c>
    </row>
    <row r="67" spans="1:19" ht="15.6">
      <c r="A67" s="6">
        <v>66</v>
      </c>
      <c r="B67" s="7" t="s">
        <v>23</v>
      </c>
      <c r="C67" s="7">
        <v>10422050</v>
      </c>
      <c r="D67" s="7" t="s">
        <v>198</v>
      </c>
      <c r="E67" s="7" t="s">
        <v>195</v>
      </c>
      <c r="F67" s="6">
        <v>1</v>
      </c>
      <c r="G67" s="7" t="s">
        <v>199</v>
      </c>
      <c r="H67" s="7">
        <v>1</v>
      </c>
      <c r="I67" s="7"/>
      <c r="J67" s="8">
        <f>VLOOKUP(C67,[1]Lab!$C$9:$I$126, 6, FALSE)</f>
        <v>10</v>
      </c>
      <c r="K67" s="8">
        <f>VLOOKUP(C67,[1]Lab!$C$9:$I$126, 7, FALSE)</f>
        <v>10</v>
      </c>
      <c r="L67" s="5">
        <f>_xlfn.IFNA(VLOOKUP(C67, [1]exam!$A$2:$C$115,3,FALSE),0)</f>
        <v>9</v>
      </c>
      <c r="M67" s="4">
        <v>10</v>
      </c>
      <c r="N67" s="4">
        <v>1</v>
      </c>
      <c r="O67">
        <f t="shared" ref="O67:O119" si="1">SUM(L67,N67)</f>
        <v>10</v>
      </c>
      <c r="P67" s="5">
        <f>J67*0.1+K67*0.1+MIN((L67+N67),10)*0.4+M67*0.4</f>
        <v>10</v>
      </c>
      <c r="Q67" s="10">
        <f>IF(P67*10&lt;50,5,ROUND(3*((100-P67*10)/50)+1,1))</f>
        <v>1</v>
      </c>
      <c r="R67" s="10">
        <f>IF(Q67&gt;4,5,IF((Q67-TRUNC(Q67))&lt;0.3,TRUNC(Q67),IF((Q67-TRUNC(Q67))&gt;=0.7,TRUNC(Q67)+0.7,TRUNC(Q67)+0.3)))</f>
        <v>1</v>
      </c>
      <c r="S67" s="4" t="s">
        <v>154</v>
      </c>
    </row>
    <row r="68" spans="1:19" ht="15.6">
      <c r="A68" s="6">
        <v>67</v>
      </c>
      <c r="B68" s="7" t="s">
        <v>23</v>
      </c>
      <c r="C68" s="7">
        <v>10422051</v>
      </c>
      <c r="D68" s="7" t="s">
        <v>200</v>
      </c>
      <c r="E68" s="7" t="s">
        <v>195</v>
      </c>
      <c r="F68" s="6">
        <v>1</v>
      </c>
      <c r="G68" s="7" t="s">
        <v>201</v>
      </c>
      <c r="H68" s="7">
        <v>1</v>
      </c>
      <c r="I68" s="7"/>
      <c r="J68" s="8">
        <f>VLOOKUP(C68,[1]Lab!$C$9:$I$126, 6, FALSE)</f>
        <v>10</v>
      </c>
      <c r="K68" s="8">
        <f>VLOOKUP(C68,[1]Lab!$C$9:$I$126, 7, FALSE)</f>
        <v>10</v>
      </c>
      <c r="L68" s="5">
        <f>_xlfn.IFNA(VLOOKUP(C68, [1]exam!$A$2:$C$115,3,FALSE),0)</f>
        <v>9</v>
      </c>
      <c r="M68" s="4">
        <v>10</v>
      </c>
      <c r="N68" s="4">
        <v>1</v>
      </c>
      <c r="O68">
        <f t="shared" si="1"/>
        <v>10</v>
      </c>
      <c r="P68" s="5">
        <f>J68*0.1+K68*0.1+MIN((L68+N68),10)*0.4+M68*0.4</f>
        <v>10</v>
      </c>
      <c r="Q68" s="10">
        <f>IF(P68*10&lt;50,5,ROUND(3*((100-P68*10)/50)+1,1))</f>
        <v>1</v>
      </c>
      <c r="R68" s="10">
        <f>IF(Q68&gt;4,5,IF((Q68-TRUNC(Q68))&lt;0.3,TRUNC(Q68),IF((Q68-TRUNC(Q68))&gt;=0.7,TRUNC(Q68)+0.7,TRUNC(Q68)+0.3)))</f>
        <v>1</v>
      </c>
      <c r="S68" s="4" t="s">
        <v>202</v>
      </c>
    </row>
    <row r="69" spans="1:19" ht="15.6">
      <c r="A69" s="6">
        <v>68</v>
      </c>
      <c r="B69" s="7" t="s">
        <v>23</v>
      </c>
      <c r="C69" s="7">
        <v>10422052</v>
      </c>
      <c r="D69" s="7" t="s">
        <v>203</v>
      </c>
      <c r="E69" s="7" t="s">
        <v>204</v>
      </c>
      <c r="F69" s="6">
        <v>1</v>
      </c>
      <c r="G69" s="7" t="s">
        <v>205</v>
      </c>
      <c r="H69" s="7">
        <v>1.3</v>
      </c>
      <c r="I69" s="7"/>
      <c r="J69" s="8">
        <f>VLOOKUP(C69,[1]Lab!$C$9:$I$126, 6, FALSE)</f>
        <v>10</v>
      </c>
      <c r="K69" s="8">
        <f>VLOOKUP(C69,[1]Lab!$C$9:$I$126, 7, FALSE)</f>
        <v>10</v>
      </c>
      <c r="L69" s="5">
        <f>_xlfn.IFNA(VLOOKUP(C69, [1]exam!$A$2:$C$115,3,FALSE),0)</f>
        <v>8.5</v>
      </c>
      <c r="M69" s="4">
        <v>10</v>
      </c>
      <c r="N69" s="5"/>
      <c r="O69">
        <f t="shared" si="1"/>
        <v>8.5</v>
      </c>
      <c r="P69" s="5">
        <f>J69*0.1+K69*0.1+MIN((L69+N69),10)*0.4+M69*0.4</f>
        <v>9.4</v>
      </c>
      <c r="Q69" s="10">
        <f>IF(P69*10&lt;50,5,ROUND(3*((100-P69*10)/50)+1,1))</f>
        <v>1.4</v>
      </c>
      <c r="R69" s="10">
        <f>IF(Q69&gt;4,5,IF((Q69-TRUNC(Q69))&lt;0.3,TRUNC(Q69),IF((Q69-TRUNC(Q69))&gt;=0.7,TRUNC(Q69)+0.7,TRUNC(Q69)+0.3)))</f>
        <v>1.3</v>
      </c>
      <c r="S69" s="5"/>
    </row>
    <row r="70" spans="1:19" ht="15.6">
      <c r="A70" s="6">
        <v>69</v>
      </c>
      <c r="B70" s="7" t="s">
        <v>23</v>
      </c>
      <c r="C70" s="7">
        <v>10422053</v>
      </c>
      <c r="D70" s="7" t="s">
        <v>206</v>
      </c>
      <c r="E70" s="7" t="s">
        <v>207</v>
      </c>
      <c r="F70" s="6">
        <v>1</v>
      </c>
      <c r="G70" s="7" t="s">
        <v>208</v>
      </c>
      <c r="H70" s="7">
        <v>5</v>
      </c>
      <c r="I70" s="7"/>
      <c r="J70" s="8">
        <f>VLOOKUP(C70,[1]Lab!$C$9:$I$126, 6, FALSE)</f>
        <v>0</v>
      </c>
      <c r="K70" s="8">
        <f>VLOOKUP(C70,[1]Lab!$C$9:$I$126, 7, FALSE)</f>
        <v>10</v>
      </c>
      <c r="L70" s="5">
        <f>_xlfn.IFNA(VLOOKUP(C70, [1]exam!$A$2:$C$115,3,FALSE),0)</f>
        <v>8</v>
      </c>
      <c r="M70" s="9"/>
      <c r="N70" s="9"/>
      <c r="O70">
        <f t="shared" si="1"/>
        <v>8</v>
      </c>
      <c r="P70" s="5">
        <f>J70*0.1+K70*0.1+MIN((L70+N70),10)*0.4+M70*0.4</f>
        <v>4.2</v>
      </c>
      <c r="Q70" s="10">
        <f>IF(P70*10&lt;50,5,ROUND(3*((100-P70*10)/50)+1,1))</f>
        <v>5</v>
      </c>
      <c r="R70" s="10">
        <f>IF(Q70&gt;4,5,IF((Q70-TRUNC(Q70))&lt;0.3,TRUNC(Q70),IF((Q70-TRUNC(Q70))&gt;=0.7,TRUNC(Q70)+0.7,TRUNC(Q70)+0.3)))</f>
        <v>5</v>
      </c>
      <c r="S70" s="5"/>
    </row>
    <row r="71" spans="1:19" ht="15.6">
      <c r="A71" s="6">
        <v>70</v>
      </c>
      <c r="B71" s="7" t="s">
        <v>23</v>
      </c>
      <c r="C71" s="7">
        <v>10422054</v>
      </c>
      <c r="D71" s="7" t="s">
        <v>209</v>
      </c>
      <c r="E71" s="7" t="s">
        <v>210</v>
      </c>
      <c r="F71" s="6">
        <v>1</v>
      </c>
      <c r="G71" s="7" t="s">
        <v>211</v>
      </c>
      <c r="H71" s="7">
        <v>2.2999999999999998</v>
      </c>
      <c r="I71" s="7"/>
      <c r="J71" s="8">
        <f>VLOOKUP(C71,[1]Lab!$C$9:$I$126, 6, FALSE)</f>
        <v>10</v>
      </c>
      <c r="K71" s="8">
        <f>VLOOKUP(C71,[1]Lab!$C$9:$I$126, 7, FALSE)</f>
        <v>10</v>
      </c>
      <c r="L71" s="5">
        <f>_xlfn.IFNA(VLOOKUP(C71, [1]exam!$A$2:$C$115,3,FALSE),0)</f>
        <v>4.75</v>
      </c>
      <c r="M71" s="4">
        <v>10</v>
      </c>
      <c r="N71" s="5"/>
      <c r="O71">
        <f t="shared" si="1"/>
        <v>4.75</v>
      </c>
      <c r="P71" s="5">
        <f>J71*0.1+K71*0.1+MIN((L71+N71),10)*0.4+M71*0.4</f>
        <v>7.9</v>
      </c>
      <c r="Q71" s="10">
        <f>IF(P71*10&lt;50,5,ROUND(3*((100-P71*10)/50)+1,1))</f>
        <v>2.2999999999999998</v>
      </c>
      <c r="R71" s="10">
        <f>IF(Q71&gt;4,5,IF((Q71-TRUNC(Q71))&lt;0.3,TRUNC(Q71),IF((Q71-TRUNC(Q71))&gt;=0.7,TRUNC(Q71)+0.7,TRUNC(Q71)+0.3)))</f>
        <v>2.2999999999999998</v>
      </c>
      <c r="S71" s="5"/>
    </row>
    <row r="72" spans="1:19" ht="15.6">
      <c r="A72" s="6">
        <v>71</v>
      </c>
      <c r="B72" s="7" t="s">
        <v>23</v>
      </c>
      <c r="C72" s="7">
        <v>10422055</v>
      </c>
      <c r="D72" s="7" t="s">
        <v>212</v>
      </c>
      <c r="E72" s="7" t="s">
        <v>210</v>
      </c>
      <c r="F72" s="6">
        <v>1</v>
      </c>
      <c r="G72" s="7" t="s">
        <v>213</v>
      </c>
      <c r="H72" s="7">
        <v>2.2999999999999998</v>
      </c>
      <c r="I72" s="7"/>
      <c r="J72" s="8">
        <f>VLOOKUP(C72,[1]Lab!$C$9:$I$126, 6, FALSE)</f>
        <v>0</v>
      </c>
      <c r="K72" s="8">
        <f>VLOOKUP(C72,[1]Lab!$C$9:$I$126, 7, FALSE)</f>
        <v>10</v>
      </c>
      <c r="L72" s="5">
        <f>_xlfn.IFNA(VLOOKUP(C72, [1]exam!$A$2:$C$115,3,FALSE),0)</f>
        <v>6.25</v>
      </c>
      <c r="M72" s="4">
        <v>10</v>
      </c>
      <c r="N72" s="4"/>
      <c r="O72">
        <f t="shared" si="1"/>
        <v>6.25</v>
      </c>
      <c r="P72" s="5">
        <f>J72*0.1+K72*0.1+MIN((L72+N72),10)*0.4+M72*0.4</f>
        <v>7.5</v>
      </c>
      <c r="Q72" s="10">
        <f>IF(P72*10&lt;50,5,ROUND(3*((100-P72*10)/50)+1,1))</f>
        <v>2.5</v>
      </c>
      <c r="R72" s="10">
        <f>IF(Q72&gt;4,5,IF((Q72-TRUNC(Q72))&lt;0.3,TRUNC(Q72),IF((Q72-TRUNC(Q72))&gt;=0.7,TRUNC(Q72)+0.7,TRUNC(Q72)+0.3)))</f>
        <v>2.2999999999999998</v>
      </c>
      <c r="S72" s="5"/>
    </row>
    <row r="73" spans="1:19" ht="15.6">
      <c r="A73" s="6">
        <v>72</v>
      </c>
      <c r="B73" s="7" t="s">
        <v>23</v>
      </c>
      <c r="C73" s="7">
        <v>10422056</v>
      </c>
      <c r="D73" s="7" t="s">
        <v>214</v>
      </c>
      <c r="E73" s="7" t="s">
        <v>210</v>
      </c>
      <c r="F73" s="6">
        <v>1</v>
      </c>
      <c r="G73" s="7" t="s">
        <v>215</v>
      </c>
      <c r="H73" s="7">
        <v>2</v>
      </c>
      <c r="I73" s="7"/>
      <c r="J73" s="8">
        <f>VLOOKUP(C73,[1]Lab!$C$9:$I$126, 6, FALSE)</f>
        <v>10</v>
      </c>
      <c r="K73" s="8">
        <f>VLOOKUP(C73,[1]Lab!$C$9:$I$126, 7, FALSE)</f>
        <v>10</v>
      </c>
      <c r="L73" s="5">
        <f>_xlfn.IFNA(VLOOKUP(C73, [1]exam!$A$2:$C$115,3,FALSE),0)</f>
        <v>5.75</v>
      </c>
      <c r="M73" s="4">
        <v>10</v>
      </c>
      <c r="N73" s="5"/>
      <c r="O73">
        <f t="shared" si="1"/>
        <v>5.75</v>
      </c>
      <c r="P73" s="5">
        <f>J73*0.1+K73*0.1+MIN((L73+N73),10)*0.4+M73*0.4</f>
        <v>8.3000000000000007</v>
      </c>
      <c r="Q73" s="10">
        <f>IF(P73*10&lt;50,5,ROUND(3*((100-P73*10)/50)+1,1))</f>
        <v>2</v>
      </c>
      <c r="R73" s="10">
        <f>IF(Q73&gt;4,5,IF((Q73-TRUNC(Q73))&lt;0.3,TRUNC(Q73),IF((Q73-TRUNC(Q73))&gt;=0.7,TRUNC(Q73)+0.7,TRUNC(Q73)+0.3)))</f>
        <v>2</v>
      </c>
      <c r="S73" s="5"/>
    </row>
    <row r="74" spans="1:19" ht="15.6">
      <c r="A74" s="6">
        <v>73</v>
      </c>
      <c r="B74" s="7" t="s">
        <v>23</v>
      </c>
      <c r="C74" s="7">
        <v>10422057</v>
      </c>
      <c r="D74" s="7" t="s">
        <v>216</v>
      </c>
      <c r="E74" s="7" t="s">
        <v>91</v>
      </c>
      <c r="F74" s="6">
        <v>1</v>
      </c>
      <c r="G74" s="7" t="s">
        <v>217</v>
      </c>
      <c r="H74" s="7">
        <v>2</v>
      </c>
      <c r="I74" s="7"/>
      <c r="J74" s="8">
        <f>VLOOKUP(C74,[1]Lab!$C$9:$I$126, 6, FALSE)</f>
        <v>10</v>
      </c>
      <c r="K74" s="8">
        <f>VLOOKUP(C74,[1]Lab!$C$9:$I$126, 7, FALSE)</f>
        <v>10</v>
      </c>
      <c r="L74" s="5">
        <f>_xlfn.IFNA(VLOOKUP(C74, [1]exam!$A$2:$C$115,3,FALSE),0)</f>
        <v>4.5</v>
      </c>
      <c r="M74" s="4">
        <v>10</v>
      </c>
      <c r="N74" s="4">
        <v>1</v>
      </c>
      <c r="O74">
        <f t="shared" si="1"/>
        <v>5.5</v>
      </c>
      <c r="P74" s="5">
        <f>J74*0.1+K74*0.1+MIN((L74+N74),10)*0.4+M74*0.4</f>
        <v>8.1999999999999993</v>
      </c>
      <c r="Q74" s="10">
        <f>IF(P74*10&lt;50,5,ROUND(3*((100-P74*10)/50)+1,1))</f>
        <v>2.1</v>
      </c>
      <c r="R74" s="10">
        <f>IF(Q74&gt;4,5,IF((Q74-TRUNC(Q74))&lt;0.3,TRUNC(Q74),IF((Q74-TRUNC(Q74))&gt;=0.7,TRUNC(Q74)+0.7,TRUNC(Q74)+0.3)))</f>
        <v>2</v>
      </c>
      <c r="S74" s="5"/>
    </row>
    <row r="75" spans="1:19" ht="15.6">
      <c r="A75" s="6">
        <v>74</v>
      </c>
      <c r="B75" s="7" t="s">
        <v>23</v>
      </c>
      <c r="C75" s="7">
        <v>10422058</v>
      </c>
      <c r="D75" s="7" t="s">
        <v>218</v>
      </c>
      <c r="E75" s="7" t="s">
        <v>91</v>
      </c>
      <c r="F75" s="6">
        <v>1</v>
      </c>
      <c r="G75" s="7" t="s">
        <v>219</v>
      </c>
      <c r="H75" s="7">
        <v>1</v>
      </c>
      <c r="I75" s="7"/>
      <c r="J75" s="8">
        <f>VLOOKUP(C75,[1]Lab!$C$9:$I$126, 6, FALSE)</f>
        <v>10</v>
      </c>
      <c r="K75" s="8">
        <f>VLOOKUP(C75,[1]Lab!$C$9:$I$126, 7, FALSE)</f>
        <v>10</v>
      </c>
      <c r="L75" s="5">
        <f>_xlfn.IFNA(VLOOKUP(C75, [1]exam!$A$2:$C$115,3,FALSE),0)</f>
        <v>9</v>
      </c>
      <c r="M75" s="4">
        <v>10</v>
      </c>
      <c r="N75" s="4">
        <v>1</v>
      </c>
      <c r="O75">
        <f t="shared" si="1"/>
        <v>10</v>
      </c>
      <c r="P75" s="5">
        <f>J75*0.1+K75*0.1+MIN((L75+N75),10)*0.4+M75*0.4</f>
        <v>10</v>
      </c>
      <c r="Q75" s="10">
        <f>IF(P75*10&lt;50,5,ROUND(3*((100-P75*10)/50)+1,1))</f>
        <v>1</v>
      </c>
      <c r="R75" s="10">
        <f>IF(Q75&gt;4,5,IF((Q75-TRUNC(Q75))&lt;0.3,TRUNC(Q75),IF((Q75-TRUNC(Q75))&gt;=0.7,TRUNC(Q75)+0.7,TRUNC(Q75)+0.3)))</f>
        <v>1</v>
      </c>
      <c r="S75" s="5"/>
    </row>
    <row r="76" spans="1:19" ht="15.6">
      <c r="A76" s="6">
        <v>75</v>
      </c>
      <c r="B76" s="7" t="s">
        <v>23</v>
      </c>
      <c r="C76" s="7">
        <v>10422059</v>
      </c>
      <c r="D76" s="7" t="s">
        <v>220</v>
      </c>
      <c r="E76" s="7" t="s">
        <v>91</v>
      </c>
      <c r="F76" s="6">
        <v>1</v>
      </c>
      <c r="G76" s="7" t="s">
        <v>221</v>
      </c>
      <c r="H76" s="7">
        <v>1.7</v>
      </c>
      <c r="I76" s="7"/>
      <c r="J76" s="8">
        <f>VLOOKUP(C76,[1]Lab!$C$9:$I$126, 6, FALSE)</f>
        <v>10</v>
      </c>
      <c r="K76" s="8">
        <f>VLOOKUP(C76,[1]Lab!$C$9:$I$126, 7, FALSE)</f>
        <v>10</v>
      </c>
      <c r="L76" s="5">
        <f>_xlfn.IFNA(VLOOKUP(C76, [1]exam!$A$2:$C$115,3,FALSE),0)</f>
        <v>6.75</v>
      </c>
      <c r="M76" s="4">
        <v>10</v>
      </c>
      <c r="N76" s="5"/>
      <c r="O76">
        <f t="shared" si="1"/>
        <v>6.75</v>
      </c>
      <c r="P76" s="5">
        <f>J76*0.1+K76*0.1+MIN((L76+N76),10)*0.4+M76*0.4</f>
        <v>8.6999999999999993</v>
      </c>
      <c r="Q76" s="10">
        <f>IF(P76*10&lt;50,5,ROUND(3*((100-P76*10)/50)+1,1))</f>
        <v>1.8</v>
      </c>
      <c r="R76" s="10">
        <f>IF(Q76&gt;4,5,IF((Q76-TRUNC(Q76))&lt;0.3,TRUNC(Q76),IF((Q76-TRUNC(Q76))&gt;=0.7,TRUNC(Q76)+0.7,TRUNC(Q76)+0.3)))</f>
        <v>1.7</v>
      </c>
      <c r="S76" s="5"/>
    </row>
    <row r="77" spans="1:19" ht="15.6">
      <c r="A77" s="6">
        <v>76</v>
      </c>
      <c r="B77" s="7" t="s">
        <v>23</v>
      </c>
      <c r="C77" s="7">
        <v>10422108</v>
      </c>
      <c r="D77" s="7" t="s">
        <v>222</v>
      </c>
      <c r="E77" s="7" t="s">
        <v>91</v>
      </c>
      <c r="F77" s="6">
        <v>1</v>
      </c>
      <c r="G77" s="7" t="s">
        <v>223</v>
      </c>
      <c r="H77" s="7">
        <v>3.7</v>
      </c>
      <c r="I77" s="7"/>
      <c r="J77" s="8">
        <f>VLOOKUP(C77,[1]Lab!$C$9:$I$126, 6, FALSE)</f>
        <v>10</v>
      </c>
      <c r="K77" s="8">
        <f>VLOOKUP(C77,[1]Lab!$C$9:$I$126, 7, FALSE)</f>
        <v>10</v>
      </c>
      <c r="L77" s="5">
        <f>_xlfn.IFNA(VLOOKUP(C77, [1]exam!$A$2:$C$115,3,FALSE),0)</f>
        <v>7.75</v>
      </c>
      <c r="M77" s="9"/>
      <c r="N77" s="9"/>
      <c r="O77">
        <f t="shared" si="1"/>
        <v>7.75</v>
      </c>
      <c r="P77" s="5">
        <f>J77*0.1+K77*0.1+MIN((L77+N77),10)*0.4+M77*0.4</f>
        <v>5.0999999999999996</v>
      </c>
      <c r="Q77" s="10">
        <f>IF(P77*10&lt;50,5,ROUND(3*((100-P77*10)/50)+1,1))</f>
        <v>3.9</v>
      </c>
      <c r="R77" s="10">
        <f>IF(Q77&gt;4,5,IF((Q77-TRUNC(Q77))&lt;0.3,TRUNC(Q77),IF((Q77-TRUNC(Q77))&gt;=0.7,TRUNC(Q77)+0.7,TRUNC(Q77)+0.3)))</f>
        <v>3.7</v>
      </c>
      <c r="S77" s="5"/>
    </row>
    <row r="78" spans="1:19" ht="15.6">
      <c r="A78" s="6">
        <v>77</v>
      </c>
      <c r="B78" s="7" t="s">
        <v>23</v>
      </c>
      <c r="C78" s="7">
        <v>10422109</v>
      </c>
      <c r="D78" s="7" t="s">
        <v>224</v>
      </c>
      <c r="E78" s="7" t="s">
        <v>225</v>
      </c>
      <c r="F78" s="6">
        <v>1</v>
      </c>
      <c r="G78" s="7" t="s">
        <v>226</v>
      </c>
      <c r="H78" s="7">
        <v>2.2999999999999998</v>
      </c>
      <c r="I78" s="7"/>
      <c r="J78" s="8">
        <f>VLOOKUP(C78,[1]Lab!$C$9:$I$126, 6, FALSE)</f>
        <v>0</v>
      </c>
      <c r="K78" s="8">
        <f>VLOOKUP(C78,[1]Lab!$C$9:$I$126, 7, FALSE)</f>
        <v>10</v>
      </c>
      <c r="L78" s="5">
        <f>_xlfn.IFNA(VLOOKUP(C78, [1]exam!$A$2:$C$115,3,FALSE),0)</f>
        <v>6.25</v>
      </c>
      <c r="M78" s="4">
        <v>10</v>
      </c>
      <c r="N78" s="4">
        <v>0</v>
      </c>
      <c r="O78">
        <f t="shared" si="1"/>
        <v>6.25</v>
      </c>
      <c r="P78" s="5">
        <f>J78*0.1+K78*0.1+MIN((L78+N78),10)*0.4+M78*0.4</f>
        <v>7.5</v>
      </c>
      <c r="Q78" s="10">
        <f>IF(P78*10&lt;50,5,ROUND(3*((100-P78*10)/50)+1,1))</f>
        <v>2.5</v>
      </c>
      <c r="R78" s="10">
        <f>IF(Q78&gt;4,5,IF((Q78-TRUNC(Q78))&lt;0.3,TRUNC(Q78),IF((Q78-TRUNC(Q78))&gt;=0.7,TRUNC(Q78)+0.7,TRUNC(Q78)+0.3)))</f>
        <v>2.2999999999999998</v>
      </c>
      <c r="S78" s="4" t="s">
        <v>227</v>
      </c>
    </row>
    <row r="79" spans="1:19" ht="15.6">
      <c r="A79" s="16">
        <v>78</v>
      </c>
      <c r="B79" s="17" t="s">
        <v>23</v>
      </c>
      <c r="C79" s="17">
        <v>10421098</v>
      </c>
      <c r="D79" s="17" t="s">
        <v>228</v>
      </c>
      <c r="E79" s="17" t="s">
        <v>229</v>
      </c>
      <c r="F79" s="16">
        <v>1</v>
      </c>
      <c r="G79" s="17" t="s">
        <v>230</v>
      </c>
      <c r="H79" s="18">
        <v>1.7</v>
      </c>
      <c r="I79" s="17"/>
      <c r="J79" s="20">
        <f>VLOOKUP(C79,[1]Lab!$C$9:$I$126, 6, FALSE)</f>
        <v>0</v>
      </c>
      <c r="K79" s="20">
        <f>VLOOKUP(C79,[1]Lab!$C$9:$I$126, 7, FALSE)</f>
        <v>10</v>
      </c>
      <c r="L79" s="5">
        <f>_xlfn.IFNA(VLOOKUP(C79, [1]exam!$A$2:$C$115,3,FALSE),0)</f>
        <v>7.75</v>
      </c>
      <c r="M79" s="21">
        <v>10</v>
      </c>
      <c r="N79" s="21">
        <v>1</v>
      </c>
      <c r="O79">
        <f t="shared" si="1"/>
        <v>8.75</v>
      </c>
      <c r="P79" s="22">
        <f>J79*0.1+K79*0.1+MIN((L79+N79),10)*0.4+M79*0.4</f>
        <v>8.5</v>
      </c>
      <c r="Q79" s="23">
        <f>IF(P79*10&lt;50,5,ROUND(3*((100-P79*10)/50)+1,1))</f>
        <v>1.9</v>
      </c>
      <c r="R79" s="23">
        <f>IF(Q79&gt;4,5,IF((Q79-TRUNC(Q79))&lt;0.3,TRUNC(Q79),IF((Q79-TRUNC(Q79))&gt;=0.7,TRUNC(Q79)+0.7,TRUNC(Q79)+0.3)))</f>
        <v>1.7</v>
      </c>
      <c r="S79" s="22"/>
    </row>
    <row r="80" spans="1:19" ht="15.6">
      <c r="A80" s="6">
        <v>79</v>
      </c>
      <c r="B80" s="7" t="s">
        <v>23</v>
      </c>
      <c r="C80" s="7">
        <v>10422110</v>
      </c>
      <c r="D80" s="7" t="s">
        <v>231</v>
      </c>
      <c r="E80" s="7" t="s">
        <v>229</v>
      </c>
      <c r="F80" s="6">
        <v>1</v>
      </c>
      <c r="G80" s="7" t="s">
        <v>232</v>
      </c>
      <c r="H80" s="7">
        <v>1.3</v>
      </c>
      <c r="I80" s="7"/>
      <c r="J80" s="8">
        <f>VLOOKUP(C80,[1]Lab!$C$9:$I$126, 6, FALSE)</f>
        <v>10</v>
      </c>
      <c r="K80" s="8">
        <f>VLOOKUP(C80,[1]Lab!$C$9:$I$126, 7, FALSE)</f>
        <v>10</v>
      </c>
      <c r="L80" s="5">
        <f>_xlfn.IFNA(VLOOKUP(C80, [1]exam!$A$2:$C$115,3,FALSE),0)</f>
        <v>7.5</v>
      </c>
      <c r="M80" s="4">
        <v>10</v>
      </c>
      <c r="N80" s="4">
        <v>1</v>
      </c>
      <c r="O80">
        <f t="shared" si="1"/>
        <v>8.5</v>
      </c>
      <c r="P80" s="5">
        <f>J80*0.1+K80*0.1+MIN((L80+N80),10)*0.4+M80*0.4</f>
        <v>9.4</v>
      </c>
      <c r="Q80" s="10">
        <f>IF(P80*10&lt;50,5,ROUND(3*((100-P80*10)/50)+1,1))</f>
        <v>1.4</v>
      </c>
      <c r="R80" s="10">
        <f>IF(Q80&gt;4,5,IF((Q80-TRUNC(Q80))&lt;0.3,TRUNC(Q80),IF((Q80-TRUNC(Q80))&gt;=0.7,TRUNC(Q80)+0.7,TRUNC(Q80)+0.3)))</f>
        <v>1.3</v>
      </c>
      <c r="S80" s="5"/>
    </row>
    <row r="81" spans="1:19" ht="15.6">
      <c r="A81" s="6">
        <v>80</v>
      </c>
      <c r="B81" s="7" t="s">
        <v>23</v>
      </c>
      <c r="C81" s="7">
        <v>10422060</v>
      </c>
      <c r="D81" s="7" t="s">
        <v>233</v>
      </c>
      <c r="E81" s="7" t="s">
        <v>17</v>
      </c>
      <c r="F81" s="6">
        <v>1</v>
      </c>
      <c r="G81" s="7" t="s">
        <v>234</v>
      </c>
      <c r="H81" s="7">
        <v>1</v>
      </c>
      <c r="I81" s="7"/>
      <c r="J81" s="8">
        <f>VLOOKUP(C81,[1]Lab!$C$9:$I$126, 6, FALSE)</f>
        <v>10</v>
      </c>
      <c r="K81" s="8">
        <f>VLOOKUP(C81,[1]Lab!$C$9:$I$126, 7, FALSE)</f>
        <v>10</v>
      </c>
      <c r="L81" s="5">
        <f>_xlfn.IFNA(VLOOKUP(C81, [1]exam!$A$2:$C$115,3,FALSE),0)</f>
        <v>8.25</v>
      </c>
      <c r="M81" s="4">
        <v>10</v>
      </c>
      <c r="N81" s="4">
        <v>1</v>
      </c>
      <c r="O81">
        <f t="shared" si="1"/>
        <v>9.25</v>
      </c>
      <c r="P81" s="5">
        <f>J81*0.1+K81*0.1+MIN((L81+N81),10)*0.4+M81*0.4</f>
        <v>9.6999999999999993</v>
      </c>
      <c r="Q81" s="10">
        <f>IF(P81*10&lt;50,5,ROUND(3*((100-P81*10)/50)+1,1))</f>
        <v>1.2</v>
      </c>
      <c r="R81" s="10">
        <f>IF(Q81&gt;4,5,IF((Q81-TRUNC(Q81))&lt;0.3,TRUNC(Q81),IF((Q81-TRUNC(Q81))&gt;=0.7,TRUNC(Q81)+0.7,TRUNC(Q81)+0.3)))</f>
        <v>1</v>
      </c>
      <c r="S81" s="5"/>
    </row>
    <row r="82" spans="1:19" ht="15.6">
      <c r="A82" s="6">
        <v>81</v>
      </c>
      <c r="B82" s="7" t="s">
        <v>23</v>
      </c>
      <c r="C82" s="7">
        <v>10422061</v>
      </c>
      <c r="D82" s="7" t="s">
        <v>235</v>
      </c>
      <c r="E82" s="7" t="s">
        <v>236</v>
      </c>
      <c r="F82" s="6">
        <v>1</v>
      </c>
      <c r="G82" s="7" t="s">
        <v>237</v>
      </c>
      <c r="H82" s="7">
        <v>2</v>
      </c>
      <c r="I82" s="7"/>
      <c r="J82" s="8">
        <f>VLOOKUP(C82,[1]Lab!$C$9:$I$126, 6, FALSE)</f>
        <v>10</v>
      </c>
      <c r="K82" s="8">
        <f>VLOOKUP(C82,[1]Lab!$C$9:$I$126, 7, FALSE)</f>
        <v>10</v>
      </c>
      <c r="L82" s="5">
        <f>_xlfn.IFNA(VLOOKUP(C82, [1]exam!$A$2:$C$115,3,FALSE),0)</f>
        <v>7</v>
      </c>
      <c r="M82" s="4">
        <v>8</v>
      </c>
      <c r="N82" s="5"/>
      <c r="O82">
        <f t="shared" si="1"/>
        <v>7</v>
      </c>
      <c r="P82" s="5">
        <f>J82*0.1+K82*0.1+MIN((L82+N82),10)*0.4+M82*0.4</f>
        <v>8</v>
      </c>
      <c r="Q82" s="10">
        <f>IF(P82*10&lt;50,5,ROUND(3*((100-P82*10)/50)+1,1))</f>
        <v>2.2000000000000002</v>
      </c>
      <c r="R82" s="10">
        <f>IF(Q82&gt;4,5,IF((Q82-TRUNC(Q82))&lt;0.3,TRUNC(Q82),IF((Q82-TRUNC(Q82))&gt;=0.7,TRUNC(Q82)+0.7,TRUNC(Q82)+0.3)))</f>
        <v>2</v>
      </c>
      <c r="S82" s="4" t="s">
        <v>238</v>
      </c>
    </row>
    <row r="83" spans="1:19" ht="15.6">
      <c r="A83" s="6">
        <v>82</v>
      </c>
      <c r="B83" s="7" t="s">
        <v>23</v>
      </c>
      <c r="C83" s="7">
        <v>10422062</v>
      </c>
      <c r="D83" s="7" t="s">
        <v>239</v>
      </c>
      <c r="E83" s="7" t="s">
        <v>240</v>
      </c>
      <c r="F83" s="6">
        <v>1</v>
      </c>
      <c r="G83" s="7" t="s">
        <v>241</v>
      </c>
      <c r="H83" s="7">
        <v>1</v>
      </c>
      <c r="I83" s="7"/>
      <c r="J83" s="8">
        <f>VLOOKUP(C83,[1]Lab!$C$9:$I$126, 6, FALSE)</f>
        <v>10</v>
      </c>
      <c r="K83" s="8">
        <f>VLOOKUP(C83,[1]Lab!$C$9:$I$126, 7, FALSE)</f>
        <v>10</v>
      </c>
      <c r="L83" s="5">
        <f>_xlfn.IFNA(VLOOKUP(C83, [1]exam!$A$2:$C$115,3,FALSE),0)</f>
        <v>8.5</v>
      </c>
      <c r="M83" s="25">
        <v>10</v>
      </c>
      <c r="N83" s="25">
        <v>1</v>
      </c>
      <c r="O83">
        <f t="shared" si="1"/>
        <v>9.5</v>
      </c>
      <c r="P83" s="5">
        <f>J83*0.1+K83*0.1+MIN((L83+N83),10)*0.4+M83*0.4</f>
        <v>9.8000000000000007</v>
      </c>
      <c r="Q83" s="10">
        <f>IF(P83*10&lt;50,5,ROUND(3*((100-P83*10)/50)+1,1))</f>
        <v>1.1000000000000001</v>
      </c>
      <c r="R83" s="10">
        <f>IF(Q83&gt;4,5,IF((Q83-TRUNC(Q83))&lt;0.3,TRUNC(Q83),IF((Q83-TRUNC(Q83))&gt;=0.7,TRUNC(Q83)+0.7,TRUNC(Q83)+0.3)))</f>
        <v>1</v>
      </c>
      <c r="S83" s="5"/>
    </row>
    <row r="84" spans="1:19" ht="15.6">
      <c r="A84" s="16">
        <v>83</v>
      </c>
      <c r="B84" s="17" t="s">
        <v>23</v>
      </c>
      <c r="C84" s="17">
        <v>10422063</v>
      </c>
      <c r="D84" s="17" t="s">
        <v>242</v>
      </c>
      <c r="E84" s="17" t="s">
        <v>243</v>
      </c>
      <c r="F84" s="16">
        <v>1</v>
      </c>
      <c r="G84" s="17" t="s">
        <v>244</v>
      </c>
      <c r="H84" s="17">
        <v>1.7</v>
      </c>
      <c r="I84" s="17"/>
      <c r="J84" s="20">
        <f>VLOOKUP(C84,[1]Lab!$C$9:$I$126, 6, FALSE)</f>
        <v>8</v>
      </c>
      <c r="K84" s="20">
        <f>VLOOKUP(C84,[1]Lab!$C$9:$I$126, 7, FALSE)</f>
        <v>10</v>
      </c>
      <c r="L84" s="5">
        <f>_xlfn.IFNA(VLOOKUP(C84, [1]exam!$A$2:$C$115,3,FALSE),0)</f>
        <v>7.75</v>
      </c>
      <c r="M84" s="21">
        <v>10</v>
      </c>
      <c r="N84" s="21">
        <v>0</v>
      </c>
      <c r="O84">
        <f t="shared" si="1"/>
        <v>7.75</v>
      </c>
      <c r="P84" s="22">
        <f>J84*0.1+K84*0.1+MIN((L84+N84),10)*0.4+M84*0.4</f>
        <v>8.9</v>
      </c>
      <c r="Q84" s="23">
        <f>IF(P84*10&lt;50,5,ROUND(3*((100-P84*10)/50)+1,1))</f>
        <v>1.7</v>
      </c>
      <c r="R84" s="23">
        <f>IF(Q84&gt;4,5,IF((Q84-TRUNC(Q84))&lt;0.3,TRUNC(Q84),IF((Q84-TRUNC(Q84))&gt;=0.7,TRUNC(Q84)+0.7,TRUNC(Q84)+0.3)))</f>
        <v>1.7</v>
      </c>
      <c r="S84" s="21" t="s">
        <v>245</v>
      </c>
    </row>
    <row r="85" spans="1:19" ht="15.6">
      <c r="A85" s="6">
        <v>84</v>
      </c>
      <c r="B85" s="7" t="s">
        <v>23</v>
      </c>
      <c r="C85" s="7">
        <v>10422111</v>
      </c>
      <c r="D85" s="7" t="s">
        <v>246</v>
      </c>
      <c r="E85" s="7" t="s">
        <v>243</v>
      </c>
      <c r="F85" s="6">
        <v>1</v>
      </c>
      <c r="G85" s="7" t="s">
        <v>247</v>
      </c>
      <c r="H85" s="7">
        <v>1.7</v>
      </c>
      <c r="I85" s="7"/>
      <c r="J85" s="8">
        <f>VLOOKUP(C85,[1]Lab!$C$9:$I$126, 6, FALSE)</f>
        <v>10</v>
      </c>
      <c r="K85" s="8">
        <f>VLOOKUP(C85,[1]Lab!$C$9:$I$126, 7, FALSE)</f>
        <v>10</v>
      </c>
      <c r="L85" s="5">
        <f>_xlfn.IFNA(VLOOKUP(C85, [1]exam!$A$2:$C$115,3,FALSE),0)</f>
        <v>7</v>
      </c>
      <c r="M85" s="4">
        <v>10</v>
      </c>
      <c r="N85" s="4">
        <v>0</v>
      </c>
      <c r="O85">
        <f t="shared" si="1"/>
        <v>7</v>
      </c>
      <c r="P85" s="5">
        <f>J85*0.1+K85*0.1+MIN((L85+N85),10)*0.4+M85*0.4</f>
        <v>8.8000000000000007</v>
      </c>
      <c r="Q85" s="10">
        <f>IF(P85*10&lt;50,5,ROUND(3*((100-P85*10)/50)+1,1))</f>
        <v>1.7</v>
      </c>
      <c r="R85" s="10">
        <f>IF(Q85&gt;4,5,IF((Q85-TRUNC(Q85))&lt;0.3,TRUNC(Q85),IF((Q85-TRUNC(Q85))&gt;=0.7,TRUNC(Q85)+0.7,TRUNC(Q85)+0.3)))</f>
        <v>1.7</v>
      </c>
      <c r="S85" s="4" t="s">
        <v>154</v>
      </c>
    </row>
    <row r="86" spans="1:19" ht="15.6">
      <c r="A86" s="6">
        <v>85</v>
      </c>
      <c r="B86" s="7" t="s">
        <v>23</v>
      </c>
      <c r="C86" s="7">
        <v>10422112</v>
      </c>
      <c r="D86" s="7" t="s">
        <v>248</v>
      </c>
      <c r="E86" s="7" t="s">
        <v>249</v>
      </c>
      <c r="F86" s="6">
        <v>1</v>
      </c>
      <c r="G86" s="7" t="s">
        <v>250</v>
      </c>
      <c r="H86" s="7">
        <v>2.7</v>
      </c>
      <c r="I86" s="7"/>
      <c r="J86" s="8">
        <f>VLOOKUP(C86,[1]Lab!$C$9:$I$126, 6, FALSE)</f>
        <v>0</v>
      </c>
      <c r="K86" s="8">
        <f>VLOOKUP(C86,[1]Lab!$C$9:$I$126, 7, FALSE)</f>
        <v>10</v>
      </c>
      <c r="L86" s="5">
        <f>_xlfn.IFNA(VLOOKUP(C86, [1]exam!$A$2:$C$115,3,FALSE),0)</f>
        <v>4</v>
      </c>
      <c r="M86" s="4">
        <v>10</v>
      </c>
      <c r="N86" s="4">
        <v>1</v>
      </c>
      <c r="O86">
        <f t="shared" si="1"/>
        <v>5</v>
      </c>
      <c r="P86" s="5">
        <f>J86*0.1+K86*0.1+MIN((L86+N86),10)*0.4+M86*0.4</f>
        <v>7</v>
      </c>
      <c r="Q86" s="10">
        <f>IF(P86*10&lt;50,5,ROUND(3*((100-P86*10)/50)+1,1))</f>
        <v>2.8</v>
      </c>
      <c r="R86" s="10">
        <f>IF(Q86&gt;4,5,IF((Q86-TRUNC(Q86))&lt;0.3,TRUNC(Q86),IF((Q86-TRUNC(Q86))&gt;=0.7,TRUNC(Q86)+0.7,TRUNC(Q86)+0.3)))</f>
        <v>2.7</v>
      </c>
      <c r="S86" s="4" t="s">
        <v>251</v>
      </c>
    </row>
    <row r="87" spans="1:19" ht="15.6">
      <c r="A87" s="16">
        <v>86</v>
      </c>
      <c r="B87" s="17" t="s">
        <v>23</v>
      </c>
      <c r="C87" s="17">
        <v>10222025</v>
      </c>
      <c r="D87" s="17" t="s">
        <v>252</v>
      </c>
      <c r="E87" s="17" t="s">
        <v>253</v>
      </c>
      <c r="F87" s="16">
        <v>1</v>
      </c>
      <c r="G87" s="17" t="s">
        <v>254</v>
      </c>
      <c r="H87" s="18">
        <v>3</v>
      </c>
      <c r="I87" s="17"/>
      <c r="J87" s="20">
        <f>VLOOKUP(C87,[1]Lab!$C$9:$I$126, 6, FALSE)</f>
        <v>10</v>
      </c>
      <c r="K87" s="20">
        <f>VLOOKUP(C87,[1]Lab!$C$9:$I$126, 7, FALSE)</f>
        <v>10</v>
      </c>
      <c r="L87" s="5">
        <f>_xlfn.IFNA(VLOOKUP(C87, [1]exam!$A$2:$C$115,3,FALSE),0)</f>
        <v>6</v>
      </c>
      <c r="M87" s="21">
        <v>5</v>
      </c>
      <c r="N87" s="22"/>
      <c r="O87">
        <f t="shared" si="1"/>
        <v>6</v>
      </c>
      <c r="P87" s="22">
        <f>J87*0.1+K87*0.1+MIN((L87+N87),10)*0.4+M87*0.4</f>
        <v>6.4</v>
      </c>
      <c r="Q87" s="23">
        <f>IF(P87*10&lt;50,5,ROUND(3*((100-P87*10)/50)+1,1))</f>
        <v>3.2</v>
      </c>
      <c r="R87" s="23">
        <f>IF(Q87&gt;4,5,IF((Q87-TRUNC(Q87))&lt;0.3,TRUNC(Q87),IF((Q87-TRUNC(Q87))&gt;=0.7,TRUNC(Q87)+0.7,TRUNC(Q87)+0.3)))</f>
        <v>3</v>
      </c>
      <c r="S87" s="22"/>
    </row>
    <row r="88" spans="1:19" ht="15.6">
      <c r="A88" s="6">
        <v>87</v>
      </c>
      <c r="B88" s="7" t="s">
        <v>23</v>
      </c>
      <c r="C88" s="7">
        <v>10422064</v>
      </c>
      <c r="D88" s="7" t="s">
        <v>255</v>
      </c>
      <c r="E88" s="7" t="s">
        <v>256</v>
      </c>
      <c r="F88" s="6">
        <v>1</v>
      </c>
      <c r="G88" s="7" t="s">
        <v>257</v>
      </c>
      <c r="H88" s="7">
        <v>5</v>
      </c>
      <c r="I88" s="7"/>
      <c r="J88" s="8">
        <f>VLOOKUP(C88,[1]Lab!$C$9:$I$126, 6, FALSE)</f>
        <v>0</v>
      </c>
      <c r="K88" s="8">
        <f>VLOOKUP(C88,[1]Lab!$C$9:$I$126, 7, FALSE)</f>
        <v>10</v>
      </c>
      <c r="L88" s="5">
        <f>_xlfn.IFNA(VLOOKUP(C88, [1]exam!$A$2:$C$115,3,FALSE),0)</f>
        <v>5.25</v>
      </c>
      <c r="M88" s="9"/>
      <c r="N88" s="9"/>
      <c r="O88">
        <f t="shared" si="1"/>
        <v>5.25</v>
      </c>
      <c r="P88" s="5">
        <f>J88*0.1+K88*0.1+MIN((L88+N88),10)*0.4+M88*0.4</f>
        <v>3.1</v>
      </c>
      <c r="Q88" s="10">
        <f>IF(P88*10&lt;50,5,ROUND(3*((100-P88*10)/50)+1,1))</f>
        <v>5</v>
      </c>
      <c r="R88" s="10">
        <f>IF(Q88&gt;4,5,IF((Q88-TRUNC(Q88))&lt;0.3,TRUNC(Q88),IF((Q88-TRUNC(Q88))&gt;=0.7,TRUNC(Q88)+0.7,TRUNC(Q88)+0.3)))</f>
        <v>5</v>
      </c>
      <c r="S88" s="5"/>
    </row>
    <row r="89" spans="1:19" ht="15.6">
      <c r="A89" s="6">
        <v>88</v>
      </c>
      <c r="B89" s="7" t="s">
        <v>23</v>
      </c>
      <c r="C89" s="7">
        <v>10422065</v>
      </c>
      <c r="D89" s="7" t="s">
        <v>258</v>
      </c>
      <c r="E89" s="7" t="s">
        <v>259</v>
      </c>
      <c r="F89" s="6">
        <v>1</v>
      </c>
      <c r="G89" s="7" t="s">
        <v>260</v>
      </c>
      <c r="H89" s="7">
        <v>1.7</v>
      </c>
      <c r="I89" s="7"/>
      <c r="J89" s="8">
        <f>VLOOKUP(C89,[1]Lab!$C$9:$I$126, 6, FALSE)</f>
        <v>8</v>
      </c>
      <c r="K89" s="8">
        <f>VLOOKUP(C89,[1]Lab!$C$9:$I$126, 7, FALSE)</f>
        <v>10</v>
      </c>
      <c r="L89" s="5">
        <f>_xlfn.IFNA(VLOOKUP(C89, [1]exam!$A$2:$C$115,3,FALSE),0)</f>
        <v>6.75</v>
      </c>
      <c r="M89" s="4">
        <v>10</v>
      </c>
      <c r="N89" s="5"/>
      <c r="O89">
        <f t="shared" si="1"/>
        <v>6.75</v>
      </c>
      <c r="P89" s="5">
        <f>J89*0.1+K89*0.1+MIN((L89+N89),10)*0.4+M89*0.4</f>
        <v>8.5</v>
      </c>
      <c r="Q89" s="10">
        <f>IF(P89*10&lt;50,5,ROUND(3*((100-P89*10)/50)+1,1))</f>
        <v>1.9</v>
      </c>
      <c r="R89" s="10">
        <f>IF(Q89&gt;4,5,IF((Q89-TRUNC(Q89))&lt;0.3,TRUNC(Q89),IF((Q89-TRUNC(Q89))&gt;=0.7,TRUNC(Q89)+0.7,TRUNC(Q89)+0.3)))</f>
        <v>1.7</v>
      </c>
      <c r="S89" s="5"/>
    </row>
    <row r="90" spans="1:19" ht="15.6">
      <c r="A90" s="6">
        <v>89</v>
      </c>
      <c r="B90" s="7" t="s">
        <v>23</v>
      </c>
      <c r="C90" s="7">
        <v>10422066</v>
      </c>
      <c r="D90" s="7" t="s">
        <v>69</v>
      </c>
      <c r="E90" s="7" t="s">
        <v>261</v>
      </c>
      <c r="F90" s="6">
        <v>1</v>
      </c>
      <c r="G90" s="7" t="s">
        <v>262</v>
      </c>
      <c r="H90" s="7">
        <v>2.7</v>
      </c>
      <c r="I90" s="7"/>
      <c r="J90" s="8">
        <f>VLOOKUP(C90,[1]Lab!$C$9:$I$126, 6, FALSE)</f>
        <v>0</v>
      </c>
      <c r="K90" s="8">
        <f>VLOOKUP(C90,[1]Lab!$C$9:$I$126, 7, FALSE)</f>
        <v>10</v>
      </c>
      <c r="L90" s="5">
        <f>_xlfn.IFNA(VLOOKUP(C90, [1]exam!$A$2:$C$115,3,FALSE),0)</f>
        <v>5.25</v>
      </c>
      <c r="M90" s="25">
        <v>10</v>
      </c>
      <c r="N90" s="26"/>
      <c r="O90">
        <f t="shared" si="1"/>
        <v>5.25</v>
      </c>
      <c r="P90" s="5">
        <f>J90*0.1+K90*0.1+MIN((L90+N90),10)*0.4+M90*0.4</f>
        <v>7.1</v>
      </c>
      <c r="Q90" s="10">
        <f>IF(P90*10&lt;50,5,ROUND(3*((100-P90*10)/50)+1,1))</f>
        <v>2.7</v>
      </c>
      <c r="R90" s="10">
        <f>IF(Q90&gt;4,5,IF((Q90-TRUNC(Q90))&lt;0.3,TRUNC(Q90),IF((Q90-TRUNC(Q90))&gt;=0.7,TRUNC(Q90)+0.7,TRUNC(Q90)+0.3)))</f>
        <v>2.7</v>
      </c>
      <c r="S90" s="5"/>
    </row>
    <row r="91" spans="1:19" ht="15.6">
      <c r="A91" s="6">
        <v>90</v>
      </c>
      <c r="B91" s="7" t="s">
        <v>23</v>
      </c>
      <c r="C91" s="7">
        <v>10422067</v>
      </c>
      <c r="D91" s="7" t="s">
        <v>263</v>
      </c>
      <c r="E91" s="7" t="s">
        <v>261</v>
      </c>
      <c r="F91" s="6">
        <v>1</v>
      </c>
      <c r="G91" s="7" t="s">
        <v>264</v>
      </c>
      <c r="H91" s="7">
        <v>5</v>
      </c>
      <c r="I91" s="7"/>
      <c r="J91" s="8">
        <f>VLOOKUP(C91,[1]Lab!$C$9:$I$126, 6, FALSE)</f>
        <v>0</v>
      </c>
      <c r="K91" s="8">
        <f>VLOOKUP(C91,[1]Lab!$C$9:$I$126, 7, FALSE)</f>
        <v>0</v>
      </c>
      <c r="L91" s="5">
        <f>_xlfn.IFNA(VLOOKUP(C91, [1]exam!$A$2:$C$115,3,FALSE),0)</f>
        <v>7.25</v>
      </c>
      <c r="M91" s="9"/>
      <c r="N91" s="9"/>
      <c r="O91">
        <f t="shared" si="1"/>
        <v>7.25</v>
      </c>
      <c r="P91" s="5">
        <f>J91*0.1+K91*0.1+MIN((L91+N91),10)*0.4+M91*0.4</f>
        <v>2.9000000000000004</v>
      </c>
      <c r="Q91" s="10">
        <f>IF(P91*10&lt;50,5,ROUND(3*((100-P91*10)/50)+1,1))</f>
        <v>5</v>
      </c>
      <c r="R91" s="10">
        <f>IF(Q91&gt;4,5,IF((Q91-TRUNC(Q91))&lt;0.3,TRUNC(Q91),IF((Q91-TRUNC(Q91))&gt;=0.7,TRUNC(Q91)+0.7,TRUNC(Q91)+0.3)))</f>
        <v>5</v>
      </c>
      <c r="S91" s="5"/>
    </row>
    <row r="92" spans="1:19" ht="15.6">
      <c r="A92" s="6">
        <v>91</v>
      </c>
      <c r="B92" s="7" t="s">
        <v>23</v>
      </c>
      <c r="C92" s="7">
        <v>10422113</v>
      </c>
      <c r="D92" s="7" t="s">
        <v>265</v>
      </c>
      <c r="E92" s="7" t="s">
        <v>266</v>
      </c>
      <c r="F92" s="6">
        <v>1</v>
      </c>
      <c r="G92" s="7" t="s">
        <v>267</v>
      </c>
      <c r="H92" s="7">
        <v>1.3</v>
      </c>
      <c r="I92" s="7"/>
      <c r="J92" s="8">
        <f>VLOOKUP(C92,[1]Lab!$C$9:$I$126, 6, FALSE)</f>
        <v>10</v>
      </c>
      <c r="K92" s="8">
        <f>VLOOKUP(C92,[1]Lab!$C$9:$I$126, 7, FALSE)</f>
        <v>10</v>
      </c>
      <c r="L92" s="5">
        <f>_xlfn.IFNA(VLOOKUP(C92, [1]exam!$A$2:$C$115,3,FALSE),0)</f>
        <v>8</v>
      </c>
      <c r="M92" s="4">
        <v>10</v>
      </c>
      <c r="N92" s="4">
        <v>0</v>
      </c>
      <c r="O92">
        <f t="shared" si="1"/>
        <v>8</v>
      </c>
      <c r="P92" s="5">
        <f>J92*0.1+K92*0.1+MIN((L92+N92),10)*0.4+M92*0.4</f>
        <v>9.1999999999999993</v>
      </c>
      <c r="Q92" s="10">
        <f>IF(P92*10&lt;50,5,ROUND(3*((100-P92*10)/50)+1,1))</f>
        <v>1.5</v>
      </c>
      <c r="R92" s="10">
        <f>IF(Q92&gt;4,5,IF((Q92-TRUNC(Q92))&lt;0.3,TRUNC(Q92),IF((Q92-TRUNC(Q92))&gt;=0.7,TRUNC(Q92)+0.7,TRUNC(Q92)+0.3)))</f>
        <v>1.3</v>
      </c>
      <c r="S92" s="4" t="s">
        <v>268</v>
      </c>
    </row>
    <row r="93" spans="1:19" ht="15.6">
      <c r="A93" s="16">
        <v>92</v>
      </c>
      <c r="B93" s="17" t="s">
        <v>23</v>
      </c>
      <c r="C93" s="17">
        <v>10421102</v>
      </c>
      <c r="D93" s="17" t="s">
        <v>269</v>
      </c>
      <c r="E93" s="17" t="s">
        <v>270</v>
      </c>
      <c r="F93" s="16">
        <v>1</v>
      </c>
      <c r="G93" s="17" t="s">
        <v>271</v>
      </c>
      <c r="H93" s="18">
        <v>1.7</v>
      </c>
      <c r="I93" s="17"/>
      <c r="J93" s="20">
        <f>VLOOKUP(C93,[1]Lab!$C$9:$I$126, 6, FALSE)</f>
        <v>4</v>
      </c>
      <c r="K93" s="20">
        <f>VLOOKUP(C93,[1]Lab!$C$9:$I$126, 7, FALSE)</f>
        <v>10</v>
      </c>
      <c r="L93" s="5">
        <f>_xlfn.IFNA(VLOOKUP(C93, [1]exam!$A$2:$C$115,3,FALSE),0)</f>
        <v>8.25</v>
      </c>
      <c r="M93" s="21">
        <v>10</v>
      </c>
      <c r="N93" s="21">
        <v>0</v>
      </c>
      <c r="O93">
        <f t="shared" si="1"/>
        <v>8.25</v>
      </c>
      <c r="P93" s="22">
        <f>J93*0.1+K93*0.1+MIN((L93+N93),10)*0.4+M93*0.4</f>
        <v>8.6999999999999993</v>
      </c>
      <c r="Q93" s="23">
        <f>IF(P93*10&lt;50,5,ROUND(3*((100-P93*10)/50)+1,1))</f>
        <v>1.8</v>
      </c>
      <c r="R93" s="23">
        <f>IF(Q93&gt;4,5,IF((Q93-TRUNC(Q93))&lt;0.3,TRUNC(Q93),IF((Q93-TRUNC(Q93))&gt;=0.7,TRUNC(Q93)+0.7,TRUNC(Q93)+0.3)))</f>
        <v>1.7</v>
      </c>
      <c r="S93" s="21"/>
    </row>
    <row r="94" spans="1:19" ht="15.6">
      <c r="A94" s="16">
        <v>93</v>
      </c>
      <c r="B94" s="17" t="s">
        <v>23</v>
      </c>
      <c r="C94" s="17">
        <v>10422070</v>
      </c>
      <c r="D94" s="17" t="s">
        <v>272</v>
      </c>
      <c r="E94" s="17" t="s">
        <v>273</v>
      </c>
      <c r="F94" s="16">
        <v>1</v>
      </c>
      <c r="G94" s="17" t="s">
        <v>274</v>
      </c>
      <c r="H94" s="18">
        <v>2.2999999999999998</v>
      </c>
      <c r="I94" s="17"/>
      <c r="J94" s="20">
        <f>VLOOKUP(C94,[1]Lab!$C$9:$I$126, 6, FALSE)</f>
        <v>0</v>
      </c>
      <c r="K94" s="20">
        <f>VLOOKUP(C94,[1]Lab!$C$9:$I$126, 7, FALSE)</f>
        <v>10</v>
      </c>
      <c r="L94" s="5">
        <f>_xlfn.IFNA(VLOOKUP(C94, [1]exam!$A$2:$C$115,3,FALSE),0)</f>
        <v>5</v>
      </c>
      <c r="M94" s="21">
        <v>10</v>
      </c>
      <c r="N94" s="21">
        <v>1</v>
      </c>
      <c r="O94">
        <f t="shared" si="1"/>
        <v>6</v>
      </c>
      <c r="P94" s="22">
        <f>J94*0.1+K94*0.1+MIN((L94+N94),10)*0.4+M94*0.4</f>
        <v>7.4</v>
      </c>
      <c r="Q94" s="23">
        <f>IF(P94*10&lt;50,5,ROUND(3*((100-P94*10)/50)+1,1))</f>
        <v>2.6</v>
      </c>
      <c r="R94" s="23">
        <f>IF(Q94&gt;4,5,IF((Q94-TRUNC(Q94))&lt;0.3,TRUNC(Q94),IF((Q94-TRUNC(Q94))&gt;=0.7,TRUNC(Q94)+0.7,TRUNC(Q94)+0.3)))</f>
        <v>2.2999999999999998</v>
      </c>
      <c r="S94" s="21" t="s">
        <v>275</v>
      </c>
    </row>
    <row r="95" spans="1:19" ht="15.6">
      <c r="A95" s="6">
        <v>94</v>
      </c>
      <c r="B95" s="7" t="s">
        <v>23</v>
      </c>
      <c r="C95" s="7">
        <v>10422071</v>
      </c>
      <c r="D95" s="7" t="s">
        <v>276</v>
      </c>
      <c r="E95" s="7" t="s">
        <v>277</v>
      </c>
      <c r="F95" s="6">
        <v>1</v>
      </c>
      <c r="G95" s="7" t="s">
        <v>278</v>
      </c>
      <c r="H95" s="7">
        <v>3.3</v>
      </c>
      <c r="I95" s="7"/>
      <c r="J95" s="8">
        <f>VLOOKUP(C95,[1]Lab!$C$9:$I$126, 6, FALSE)</f>
        <v>2</v>
      </c>
      <c r="K95" s="8">
        <f>VLOOKUP(C95,[1]Lab!$C$9:$I$126, 7, FALSE)</f>
        <v>10</v>
      </c>
      <c r="L95" s="5">
        <f>_xlfn.IFNA(VLOOKUP(C95, [1]exam!$A$2:$C$115,3,FALSE),0)</f>
        <v>6.5</v>
      </c>
      <c r="M95" s="4">
        <v>5</v>
      </c>
      <c r="N95" s="5"/>
      <c r="O95">
        <f t="shared" si="1"/>
        <v>6.5</v>
      </c>
      <c r="P95" s="5">
        <f>J95*0.1+K95*0.1+MIN((L95+N95),10)*0.4+M95*0.4</f>
        <v>5.8</v>
      </c>
      <c r="Q95" s="10">
        <f>IF(P95*10&lt;50,5,ROUND(3*((100-P95*10)/50)+1,1))</f>
        <v>3.5</v>
      </c>
      <c r="R95" s="10">
        <f>IF(Q95&gt;4,5,IF((Q95-TRUNC(Q95))&lt;0.3,TRUNC(Q95),IF((Q95-TRUNC(Q95))&gt;=0.7,TRUNC(Q95)+0.7,TRUNC(Q95)+0.3)))</f>
        <v>3.3</v>
      </c>
      <c r="S95" s="4" t="s">
        <v>279</v>
      </c>
    </row>
    <row r="96" spans="1:19" ht="15.6">
      <c r="A96" s="6">
        <v>95</v>
      </c>
      <c r="B96" s="7" t="s">
        <v>23</v>
      </c>
      <c r="C96" s="7">
        <v>10421053</v>
      </c>
      <c r="D96" s="7" t="s">
        <v>280</v>
      </c>
      <c r="E96" s="7" t="s">
        <v>281</v>
      </c>
      <c r="F96" s="6">
        <v>1</v>
      </c>
      <c r="G96" s="7" t="s">
        <v>282</v>
      </c>
      <c r="H96" s="7">
        <v>2</v>
      </c>
      <c r="I96" s="7"/>
      <c r="J96" s="8">
        <f>VLOOKUP(C96,[1]Lab!$C$9:$I$126, 6, FALSE)</f>
        <v>2</v>
      </c>
      <c r="K96" s="8">
        <f>VLOOKUP(C96,[1]Lab!$C$9:$I$126, 7, FALSE)</f>
        <v>10</v>
      </c>
      <c r="L96" s="5">
        <f>_xlfn.IFNA(VLOOKUP(C96, [1]exam!$A$2:$C$115,3,FALSE),0)</f>
        <v>7.75</v>
      </c>
      <c r="M96" s="4">
        <v>10</v>
      </c>
      <c r="N96" s="5"/>
      <c r="O96">
        <f t="shared" si="1"/>
        <v>7.75</v>
      </c>
      <c r="P96" s="5">
        <f>J96*0.1+K96*0.1+MIN((L96+N96),10)*0.4+M96*0.4</f>
        <v>8.3000000000000007</v>
      </c>
      <c r="Q96" s="10">
        <f>IF(P96*10&lt;50,5,ROUND(3*((100-P96*10)/50)+1,1))</f>
        <v>2</v>
      </c>
      <c r="R96" s="10">
        <f>IF(Q96&gt;4,5,IF((Q96-TRUNC(Q96))&lt;0.3,TRUNC(Q96),IF((Q96-TRUNC(Q96))&gt;=0.7,TRUNC(Q96)+0.7,TRUNC(Q96)+0.3)))</f>
        <v>2</v>
      </c>
      <c r="S96" s="5"/>
    </row>
    <row r="97" spans="1:19" ht="15.6">
      <c r="A97" s="6">
        <v>96</v>
      </c>
      <c r="B97" s="7" t="s">
        <v>23</v>
      </c>
      <c r="C97" s="7">
        <v>10422114</v>
      </c>
      <c r="D97" s="7" t="s">
        <v>283</v>
      </c>
      <c r="E97" s="7" t="s">
        <v>284</v>
      </c>
      <c r="F97" s="6">
        <v>1</v>
      </c>
      <c r="G97" s="7" t="s">
        <v>285</v>
      </c>
      <c r="H97" s="7">
        <v>2</v>
      </c>
      <c r="I97" s="7"/>
      <c r="J97" s="8">
        <f>VLOOKUP(C97,[1]Lab!$C$9:$I$126, 6, FALSE)</f>
        <v>10</v>
      </c>
      <c r="K97" s="8">
        <f>VLOOKUP(C97,[1]Lab!$C$9:$I$126, 7, FALSE)</f>
        <v>10</v>
      </c>
      <c r="L97" s="5">
        <f>_xlfn.IFNA(VLOOKUP(C97, [1]exam!$A$2:$C$115,3,FALSE),0)</f>
        <v>5</v>
      </c>
      <c r="M97" s="25">
        <v>10</v>
      </c>
      <c r="N97" s="26"/>
      <c r="O97">
        <f t="shared" si="1"/>
        <v>5</v>
      </c>
      <c r="P97" s="5">
        <f>J97*0.1+K97*0.1+MIN((L97+N97),10)*0.4+M97*0.4</f>
        <v>8</v>
      </c>
      <c r="Q97" s="10">
        <f>IF(P97*10&lt;50,5,ROUND(3*((100-P97*10)/50)+1,1))</f>
        <v>2.2000000000000002</v>
      </c>
      <c r="R97" s="10">
        <f>IF(Q97&gt;4,5,IF((Q97-TRUNC(Q97))&lt;0.3,TRUNC(Q97),IF((Q97-TRUNC(Q97))&gt;=0.7,TRUNC(Q97)+0.7,TRUNC(Q97)+0.3)))</f>
        <v>2</v>
      </c>
      <c r="S97" s="5"/>
    </row>
    <row r="98" spans="1:19" ht="15.6">
      <c r="A98" s="6">
        <v>97</v>
      </c>
      <c r="B98" s="7" t="s">
        <v>23</v>
      </c>
      <c r="C98" s="7">
        <v>10422072</v>
      </c>
      <c r="D98" s="7" t="s">
        <v>231</v>
      </c>
      <c r="E98" s="7" t="s">
        <v>286</v>
      </c>
      <c r="F98" s="6">
        <v>1</v>
      </c>
      <c r="G98" s="7" t="s">
        <v>287</v>
      </c>
      <c r="H98" s="7">
        <v>5</v>
      </c>
      <c r="I98" s="7"/>
      <c r="J98" s="8">
        <f>VLOOKUP(C98,[1]Lab!$C$9:$I$126, 6, FALSE)</f>
        <v>10</v>
      </c>
      <c r="K98" s="8">
        <f>VLOOKUP(C98,[1]Lab!$C$9:$I$126, 7, FALSE)</f>
        <v>10</v>
      </c>
      <c r="L98" s="5">
        <f>_xlfn.IFNA(VLOOKUP(C98, [1]exam!$A$2:$C$115,3,FALSE),0)</f>
        <v>6.25</v>
      </c>
      <c r="M98" s="11"/>
      <c r="N98" s="11"/>
      <c r="O98">
        <f t="shared" si="1"/>
        <v>6.25</v>
      </c>
      <c r="P98" s="5">
        <f>J98*0.1+K98*0.1+MIN((L98+N98),10)*0.4+M98*0.4</f>
        <v>4.5</v>
      </c>
      <c r="Q98" s="10">
        <f>IF(P98*10&lt;50,5,ROUND(3*((100-P98*10)/50)+1,1))</f>
        <v>5</v>
      </c>
      <c r="R98" s="10">
        <f>IF(Q98&gt;4,5,IF((Q98-TRUNC(Q98))&lt;0.3,TRUNC(Q98),IF((Q98-TRUNC(Q98))&gt;=0.7,TRUNC(Q98)+0.7,TRUNC(Q98)+0.3)))</f>
        <v>5</v>
      </c>
      <c r="S98" s="5"/>
    </row>
    <row r="99" spans="1:19" ht="15.6">
      <c r="A99" s="6">
        <v>98</v>
      </c>
      <c r="B99" s="7" t="s">
        <v>23</v>
      </c>
      <c r="C99" s="7">
        <v>10422074</v>
      </c>
      <c r="D99" s="7" t="s">
        <v>288</v>
      </c>
      <c r="E99" s="7" t="s">
        <v>289</v>
      </c>
      <c r="F99" s="6">
        <v>1</v>
      </c>
      <c r="G99" s="7" t="s">
        <v>290</v>
      </c>
      <c r="H99" s="7">
        <v>1.7</v>
      </c>
      <c r="I99" s="7"/>
      <c r="J99" s="8">
        <f>VLOOKUP(C99,[1]Lab!$C$9:$I$126, 6, FALSE)</f>
        <v>10</v>
      </c>
      <c r="K99" s="8">
        <f>VLOOKUP(C99,[1]Lab!$C$9:$I$126, 7, FALSE)</f>
        <v>10</v>
      </c>
      <c r="L99" s="5">
        <f>_xlfn.IFNA(VLOOKUP(C99, [1]exam!$A$2:$C$115,3,FALSE),0)</f>
        <v>7.25</v>
      </c>
      <c r="M99" s="4">
        <v>10</v>
      </c>
      <c r="N99" s="5"/>
      <c r="O99">
        <f t="shared" si="1"/>
        <v>7.25</v>
      </c>
      <c r="P99" s="5">
        <f>J99*0.1+K99*0.1+MIN((L99+N99),10)*0.4+M99*0.4</f>
        <v>8.9</v>
      </c>
      <c r="Q99" s="10">
        <f>IF(P99*10&lt;50,5,ROUND(3*((100-P99*10)/50)+1,1))</f>
        <v>1.7</v>
      </c>
      <c r="R99" s="10">
        <f>IF(Q99&gt;4,5,IF((Q99-TRUNC(Q99))&lt;0.3,TRUNC(Q99),IF((Q99-TRUNC(Q99))&gt;=0.7,TRUNC(Q99)+0.7,TRUNC(Q99)+0.3)))</f>
        <v>1.7</v>
      </c>
      <c r="S99" s="5"/>
    </row>
    <row r="100" spans="1:19" ht="15.6">
      <c r="A100" s="6">
        <v>99</v>
      </c>
      <c r="B100" s="7" t="s">
        <v>23</v>
      </c>
      <c r="C100" s="7">
        <v>10422075</v>
      </c>
      <c r="D100" s="7" t="s">
        <v>291</v>
      </c>
      <c r="E100" s="7" t="s">
        <v>289</v>
      </c>
      <c r="F100" s="6">
        <v>1</v>
      </c>
      <c r="G100" s="7" t="s">
        <v>292</v>
      </c>
      <c r="H100" s="7">
        <v>1.3</v>
      </c>
      <c r="I100" s="7"/>
      <c r="J100" s="8">
        <f>VLOOKUP(C100,[1]Lab!$C$9:$I$126, 6, FALSE)</f>
        <v>10</v>
      </c>
      <c r="K100" s="8">
        <f>VLOOKUP(C100,[1]Lab!$C$9:$I$126, 7, FALSE)</f>
        <v>10</v>
      </c>
      <c r="L100" s="5">
        <f>_xlfn.IFNA(VLOOKUP(C100, [1]exam!$A$2:$C$115,3,FALSE),0)</f>
        <v>8.75</v>
      </c>
      <c r="M100" s="4">
        <v>10</v>
      </c>
      <c r="N100" s="4">
        <v>0</v>
      </c>
      <c r="O100">
        <f t="shared" si="1"/>
        <v>8.75</v>
      </c>
      <c r="P100" s="5">
        <f>J100*0.1+K100*0.1+MIN((L100+N100),10)*0.4+M100*0.4</f>
        <v>9.5</v>
      </c>
      <c r="Q100" s="10">
        <f>IF(P100*10&lt;50,5,ROUND(3*((100-P100*10)/50)+1,1))</f>
        <v>1.3</v>
      </c>
      <c r="R100" s="10">
        <f>IF(Q100&gt;4,5,IF((Q100-TRUNC(Q100))&lt;0.3,TRUNC(Q100),IF((Q100-TRUNC(Q100))&gt;=0.7,TRUNC(Q100)+0.7,TRUNC(Q100)+0.3)))</f>
        <v>1.3</v>
      </c>
      <c r="S100" s="4" t="s">
        <v>136</v>
      </c>
    </row>
    <row r="101" spans="1:19" ht="15.6">
      <c r="A101" s="6">
        <v>100</v>
      </c>
      <c r="B101" s="7" t="s">
        <v>23</v>
      </c>
      <c r="C101" s="7">
        <v>18919</v>
      </c>
      <c r="D101" s="7" t="s">
        <v>82</v>
      </c>
      <c r="E101" s="7" t="s">
        <v>293</v>
      </c>
      <c r="F101" s="6">
        <v>1</v>
      </c>
      <c r="G101" s="7" t="s">
        <v>294</v>
      </c>
      <c r="H101" s="7">
        <v>5</v>
      </c>
      <c r="I101" s="7" t="s">
        <v>118</v>
      </c>
      <c r="J101" s="8">
        <f>VLOOKUP(C101,[1]Lab!$C$9:$I$126, 6, FALSE)</f>
        <v>0</v>
      </c>
      <c r="K101" s="8">
        <f>VLOOKUP(C101,[1]Lab!$C$9:$I$126, 7, FALSE)</f>
        <v>0</v>
      </c>
      <c r="L101" s="5">
        <f>_xlfn.IFNA(VLOOKUP(C101, [1]exam!$A$2:$C$115,3,FALSE),0)</f>
        <v>0</v>
      </c>
      <c r="M101" s="5"/>
      <c r="N101" s="5"/>
      <c r="O101">
        <f t="shared" si="1"/>
        <v>0</v>
      </c>
      <c r="P101" s="5">
        <f>J101*0.1+K101*0.1+MIN((L101+N101),10)*0.4+M101*0.4</f>
        <v>0</v>
      </c>
      <c r="Q101" s="10">
        <f>IF(P101*10&lt;50,5,ROUND(3*((100-P101*10)/50)+1,1))</f>
        <v>5</v>
      </c>
      <c r="R101" s="10">
        <f>IF(Q101&gt;4,5,IF((Q101-TRUNC(Q101))&lt;0.3,TRUNC(Q101),IF((Q101-TRUNC(Q101))&gt;=0.7,TRUNC(Q101)+0.7,TRUNC(Q101)+0.3)))</f>
        <v>5</v>
      </c>
      <c r="S101" s="5"/>
    </row>
    <row r="102" spans="1:19" ht="15.6">
      <c r="A102" s="6">
        <v>101</v>
      </c>
      <c r="B102" s="7" t="s">
        <v>23</v>
      </c>
      <c r="C102" s="7">
        <v>10422117</v>
      </c>
      <c r="D102" s="7" t="s">
        <v>265</v>
      </c>
      <c r="E102" s="7" t="s">
        <v>295</v>
      </c>
      <c r="F102" s="6">
        <v>1</v>
      </c>
      <c r="G102" s="7" t="s">
        <v>296</v>
      </c>
      <c r="H102" s="7">
        <v>2</v>
      </c>
      <c r="I102" s="7"/>
      <c r="J102" s="8">
        <f>VLOOKUP(C102,[1]Lab!$C$9:$I$126, 6, FALSE)</f>
        <v>10</v>
      </c>
      <c r="K102" s="8">
        <f>VLOOKUP(C102,[1]Lab!$C$9:$I$126, 7, FALSE)</f>
        <v>10</v>
      </c>
      <c r="L102" s="5">
        <f>_xlfn.IFNA(VLOOKUP(C102, [1]exam!$A$2:$C$115,3,FALSE),0)</f>
        <v>5.5</v>
      </c>
      <c r="M102" s="4">
        <v>10</v>
      </c>
      <c r="N102" s="5"/>
      <c r="O102">
        <f t="shared" si="1"/>
        <v>5.5</v>
      </c>
      <c r="P102" s="5">
        <f>J102*0.1+K102*0.1+MIN((L102+N102),10)*0.4+M102*0.4</f>
        <v>8.1999999999999993</v>
      </c>
      <c r="Q102" s="10">
        <f>IF(P102*10&lt;50,5,ROUND(3*((100-P102*10)/50)+1,1))</f>
        <v>2.1</v>
      </c>
      <c r="R102" s="10">
        <f>IF(Q102&gt;4,5,IF((Q102-TRUNC(Q102))&lt;0.3,TRUNC(Q102),IF((Q102-TRUNC(Q102))&gt;=0.7,TRUNC(Q102)+0.7,TRUNC(Q102)+0.3)))</f>
        <v>2</v>
      </c>
      <c r="S102" s="5"/>
    </row>
    <row r="103" spans="1:19" ht="15.6">
      <c r="A103" s="6">
        <v>102</v>
      </c>
      <c r="B103" s="7" t="s">
        <v>23</v>
      </c>
      <c r="C103" s="7">
        <v>10422077</v>
      </c>
      <c r="D103" s="7" t="s">
        <v>297</v>
      </c>
      <c r="E103" s="7" t="s">
        <v>298</v>
      </c>
      <c r="F103" s="6">
        <v>1</v>
      </c>
      <c r="G103" s="7" t="s">
        <v>299</v>
      </c>
      <c r="H103" s="7">
        <v>5</v>
      </c>
      <c r="I103" s="7" t="s">
        <v>118</v>
      </c>
      <c r="J103" s="8">
        <f>VLOOKUP(C103,[1]Lab!$C$9:$I$126, 6, FALSE)</f>
        <v>0</v>
      </c>
      <c r="K103" s="8">
        <f>VLOOKUP(C103,[1]Lab!$C$9:$I$126, 7, FALSE)</f>
        <v>0</v>
      </c>
      <c r="L103" s="5">
        <f>_xlfn.IFNA(VLOOKUP(C103, [1]exam!$A$2:$C$115,3,FALSE),0)</f>
        <v>0</v>
      </c>
      <c r="M103" s="5"/>
      <c r="N103" s="5"/>
      <c r="O103">
        <f t="shared" si="1"/>
        <v>0</v>
      </c>
      <c r="P103" s="5">
        <f>J103*0.1+K103*0.1+MIN((L103+N103),10)*0.4+M103*0.4</f>
        <v>0</v>
      </c>
      <c r="Q103" s="10">
        <f>IF(P103*10&lt;50,5,ROUND(3*((100-P103*10)/50)+1,1))</f>
        <v>5</v>
      </c>
      <c r="R103" s="10">
        <f>IF(Q103&gt;4,5,IF((Q103-TRUNC(Q103))&lt;0.3,TRUNC(Q103),IF((Q103-TRUNC(Q103))&gt;=0.7,TRUNC(Q103)+0.7,TRUNC(Q103)+0.3)))</f>
        <v>5</v>
      </c>
      <c r="S103" s="5"/>
    </row>
    <row r="104" spans="1:19" ht="15.6">
      <c r="A104" s="6">
        <v>103</v>
      </c>
      <c r="B104" s="7" t="s">
        <v>23</v>
      </c>
      <c r="C104" s="7">
        <v>10422124</v>
      </c>
      <c r="D104" s="7" t="s">
        <v>300</v>
      </c>
      <c r="E104" s="7" t="s">
        <v>301</v>
      </c>
      <c r="F104" s="6">
        <v>1</v>
      </c>
      <c r="G104" s="7" t="s">
        <v>302</v>
      </c>
      <c r="H104" s="7">
        <v>5</v>
      </c>
      <c r="I104" s="7"/>
      <c r="J104" s="8">
        <f>VLOOKUP(C104,[1]Lab!$C$9:$I$126, 6, FALSE)</f>
        <v>0</v>
      </c>
      <c r="K104" s="8">
        <f>VLOOKUP(C104,[1]Lab!$C$9:$I$126, 7, FALSE)</f>
        <v>10</v>
      </c>
      <c r="L104" s="5">
        <f>_xlfn.IFNA(VLOOKUP(C104, [1]exam!$A$2:$C$115,3,FALSE),0)</f>
        <v>6.5</v>
      </c>
      <c r="M104" s="9"/>
      <c r="N104" s="9"/>
      <c r="O104">
        <f t="shared" si="1"/>
        <v>6.5</v>
      </c>
      <c r="P104" s="5">
        <f>J104*0.1+K104*0.1+MIN((L104+N104),10)*0.4+M104*0.4</f>
        <v>3.6</v>
      </c>
      <c r="Q104" s="10">
        <f>IF(P104*10&lt;50,5,ROUND(3*((100-P104*10)/50)+1,1))</f>
        <v>5</v>
      </c>
      <c r="R104" s="10">
        <f>IF(Q104&gt;4,5,IF((Q104-TRUNC(Q104))&lt;0.3,TRUNC(Q104),IF((Q104-TRUNC(Q104))&gt;=0.7,TRUNC(Q104)+0.7,TRUNC(Q104)+0.3)))</f>
        <v>5</v>
      </c>
      <c r="S104" s="5"/>
    </row>
    <row r="105" spans="1:19" ht="15.6">
      <c r="A105" s="6">
        <v>104</v>
      </c>
      <c r="B105" s="7" t="s">
        <v>23</v>
      </c>
      <c r="C105" s="7">
        <v>10422078</v>
      </c>
      <c r="D105" s="7" t="s">
        <v>303</v>
      </c>
      <c r="E105" s="7" t="s">
        <v>304</v>
      </c>
      <c r="F105" s="6">
        <v>1</v>
      </c>
      <c r="G105" s="7" t="s">
        <v>305</v>
      </c>
      <c r="H105" s="7">
        <v>1.3</v>
      </c>
      <c r="I105" s="7"/>
      <c r="J105" s="8">
        <f>VLOOKUP(C105,[1]Lab!$C$9:$I$126, 6, FALSE)</f>
        <v>0</v>
      </c>
      <c r="K105" s="8">
        <f>VLOOKUP(C105,[1]Lab!$C$9:$I$126, 7, FALSE)</f>
        <v>10</v>
      </c>
      <c r="L105" s="5">
        <f>_xlfn.IFNA(VLOOKUP(C105, [1]exam!$A$2:$C$115,3,FALSE),0)</f>
        <v>9.25</v>
      </c>
      <c r="M105" s="4">
        <v>10</v>
      </c>
      <c r="N105" s="4">
        <v>1</v>
      </c>
      <c r="O105">
        <f t="shared" si="1"/>
        <v>10.25</v>
      </c>
      <c r="P105" s="5">
        <f>J105*0.1+K105*0.1+MIN((L105+N105),10)*0.4+M105*0.4</f>
        <v>9</v>
      </c>
      <c r="Q105" s="10">
        <f>IF(P105*10&lt;50,5,ROUND(3*((100-P105*10)/50)+1,1))</f>
        <v>1.6</v>
      </c>
      <c r="R105" s="10">
        <f>IF(Q105&gt;4,5,IF((Q105-TRUNC(Q105))&lt;0.3,TRUNC(Q105),IF((Q105-TRUNC(Q105))&gt;=0.7,TRUNC(Q105)+0.7,TRUNC(Q105)+0.3)))</f>
        <v>1.3</v>
      </c>
      <c r="S105" s="4" t="s">
        <v>306</v>
      </c>
    </row>
    <row r="106" spans="1:19" ht="15.6">
      <c r="A106" s="6">
        <v>105</v>
      </c>
      <c r="B106" s="7" t="s">
        <v>23</v>
      </c>
      <c r="C106" s="7">
        <v>10422118</v>
      </c>
      <c r="D106" s="7" t="s">
        <v>307</v>
      </c>
      <c r="E106" s="7" t="s">
        <v>308</v>
      </c>
      <c r="F106" s="6">
        <v>1</v>
      </c>
      <c r="G106" s="7" t="s">
        <v>309</v>
      </c>
      <c r="H106" s="7">
        <v>1.3</v>
      </c>
      <c r="I106" s="7"/>
      <c r="J106" s="8">
        <f>VLOOKUP(C106,[1]Lab!$C$9:$I$126, 6, FALSE)</f>
        <v>10</v>
      </c>
      <c r="K106" s="8">
        <f>VLOOKUP(C106,[1]Lab!$C$9:$I$126, 7, FALSE)</f>
        <v>10</v>
      </c>
      <c r="L106" s="5">
        <f>_xlfn.IFNA(VLOOKUP(C106, [1]exam!$A$2:$C$115,3,FALSE),0)</f>
        <v>7.5</v>
      </c>
      <c r="M106" s="4">
        <v>10</v>
      </c>
      <c r="N106" s="4">
        <v>0</v>
      </c>
      <c r="O106">
        <f t="shared" si="1"/>
        <v>7.5</v>
      </c>
      <c r="P106" s="5">
        <f>J106*0.1+K106*0.1+MIN((L106+N106),10)*0.4+M106*0.4</f>
        <v>9</v>
      </c>
      <c r="Q106" s="10">
        <f>IF(P106*10&lt;50,5,ROUND(3*((100-P106*10)/50)+1,1))</f>
        <v>1.6</v>
      </c>
      <c r="R106" s="10">
        <f>IF(Q106&gt;4,5,IF((Q106-TRUNC(Q106))&lt;0.3,TRUNC(Q106),IF((Q106-TRUNC(Q106))&gt;=0.7,TRUNC(Q106)+0.7,TRUNC(Q106)+0.3)))</f>
        <v>1.3</v>
      </c>
      <c r="S106" s="4" t="s">
        <v>310</v>
      </c>
    </row>
    <row r="107" spans="1:19" ht="15.6">
      <c r="A107" s="6">
        <v>106</v>
      </c>
      <c r="B107" s="7" t="s">
        <v>23</v>
      </c>
      <c r="C107" s="7">
        <v>10422119</v>
      </c>
      <c r="D107" s="7" t="s">
        <v>311</v>
      </c>
      <c r="E107" s="7" t="s">
        <v>312</v>
      </c>
      <c r="F107" s="6">
        <v>1</v>
      </c>
      <c r="G107" s="7" t="s">
        <v>313</v>
      </c>
      <c r="H107" s="7">
        <v>3.3</v>
      </c>
      <c r="I107" s="7"/>
      <c r="J107" s="8">
        <f>VLOOKUP(C107,[1]Lab!$C$9:$I$126, 6, FALSE)</f>
        <v>8</v>
      </c>
      <c r="K107" s="8">
        <f>VLOOKUP(C107,[1]Lab!$C$9:$I$126, 7, FALSE)</f>
        <v>10</v>
      </c>
      <c r="L107" s="5">
        <f>_xlfn.IFNA(VLOOKUP(C107, [1]exam!$A$2:$C$115,3,FALSE),0)</f>
        <v>5</v>
      </c>
      <c r="M107" s="4">
        <v>6</v>
      </c>
      <c r="N107" s="5"/>
      <c r="O107">
        <f t="shared" si="1"/>
        <v>5</v>
      </c>
      <c r="P107" s="5">
        <f>J107*0.1+K107*0.1+MIN((L107+N107),10)*0.4+M107*0.4</f>
        <v>6.2</v>
      </c>
      <c r="Q107" s="10">
        <f>IF(P107*10&lt;50,5,ROUND(3*((100-P107*10)/50)+1,1))</f>
        <v>3.3</v>
      </c>
      <c r="R107" s="10">
        <f>IF(Q107&gt;4,5,IF((Q107-TRUNC(Q107))&lt;0.3,TRUNC(Q107),IF((Q107-TRUNC(Q107))&gt;=0.7,TRUNC(Q107)+0.7,TRUNC(Q107)+0.3)))</f>
        <v>3.3</v>
      </c>
      <c r="S107" s="4" t="s">
        <v>314</v>
      </c>
    </row>
    <row r="108" spans="1:19" ht="15.6">
      <c r="A108" s="6">
        <v>107</v>
      </c>
      <c r="B108" s="7" t="s">
        <v>23</v>
      </c>
      <c r="C108" s="7">
        <v>10422120</v>
      </c>
      <c r="D108" s="7" t="s">
        <v>315</v>
      </c>
      <c r="E108" s="7" t="s">
        <v>316</v>
      </c>
      <c r="F108" s="6">
        <v>1</v>
      </c>
      <c r="G108" s="7" t="s">
        <v>317</v>
      </c>
      <c r="H108" s="7">
        <v>2</v>
      </c>
      <c r="I108" s="7"/>
      <c r="J108" s="8">
        <f>VLOOKUP(C108,[1]Lab!$C$9:$I$126, 6, FALSE)</f>
        <v>4</v>
      </c>
      <c r="K108" s="8">
        <f>VLOOKUP(C108,[1]Lab!$C$9:$I$126, 7, FALSE)</f>
        <v>10</v>
      </c>
      <c r="L108" s="5">
        <f>_xlfn.IFNA(VLOOKUP(C108, [1]exam!$A$2:$C$115,3,FALSE),0)</f>
        <v>5.5</v>
      </c>
      <c r="M108" s="4">
        <v>10</v>
      </c>
      <c r="N108" s="4">
        <v>1</v>
      </c>
      <c r="O108">
        <f t="shared" si="1"/>
        <v>6.5</v>
      </c>
      <c r="P108" s="5">
        <f>J108*0.1+K108*0.1+MIN((L108+N108),10)*0.4+M108*0.4</f>
        <v>8</v>
      </c>
      <c r="Q108" s="10">
        <f>IF(P108*10&lt;50,5,ROUND(3*((100-P108*10)/50)+1,1))</f>
        <v>2.2000000000000002</v>
      </c>
      <c r="R108" s="10">
        <f>IF(Q108&gt;4,5,IF((Q108-TRUNC(Q108))&lt;0.3,TRUNC(Q108),IF((Q108-TRUNC(Q108))&gt;=0.7,TRUNC(Q108)+0.7,TRUNC(Q108)+0.3)))</f>
        <v>2</v>
      </c>
      <c r="S108" s="5"/>
    </row>
    <row r="109" spans="1:19" ht="15.6">
      <c r="A109" s="6">
        <v>108</v>
      </c>
      <c r="B109" s="7" t="s">
        <v>23</v>
      </c>
      <c r="C109" s="7">
        <v>10421124</v>
      </c>
      <c r="D109" s="7" t="s">
        <v>258</v>
      </c>
      <c r="E109" s="7" t="s">
        <v>318</v>
      </c>
      <c r="F109" s="6">
        <v>1</v>
      </c>
      <c r="G109" s="7" t="s">
        <v>319</v>
      </c>
      <c r="H109" s="7">
        <v>2.7</v>
      </c>
      <c r="I109" s="7"/>
      <c r="J109" s="8">
        <f>VLOOKUP(C109,[1]Lab!$C$9:$I$126, 6, FALSE)</f>
        <v>10</v>
      </c>
      <c r="K109" s="8">
        <f>VLOOKUP(C109,[1]Lab!$C$9:$I$126, 7, FALSE)</f>
        <v>10</v>
      </c>
      <c r="L109" s="5">
        <f>_xlfn.IFNA(VLOOKUP(C109, [1]exam!$A$2:$C$115,3,FALSE),0)</f>
        <v>4.5</v>
      </c>
      <c r="M109" s="4">
        <v>8</v>
      </c>
      <c r="N109" s="5"/>
      <c r="O109">
        <f t="shared" si="1"/>
        <v>4.5</v>
      </c>
      <c r="P109" s="5">
        <f>J109*0.1+K109*0.1+MIN((L109+N109),10)*0.4+M109*0.4</f>
        <v>7</v>
      </c>
      <c r="Q109" s="10">
        <f>IF(P109*10&lt;50,5,ROUND(3*((100-P109*10)/50)+1,1))</f>
        <v>2.8</v>
      </c>
      <c r="R109" s="10">
        <f>IF(Q109&gt;4,5,IF((Q109-TRUNC(Q109))&lt;0.3,TRUNC(Q109),IF((Q109-TRUNC(Q109))&gt;=0.7,TRUNC(Q109)+0.7,TRUNC(Q109)+0.3)))</f>
        <v>2.7</v>
      </c>
      <c r="S109" s="4" t="s">
        <v>320</v>
      </c>
    </row>
    <row r="110" spans="1:19" ht="15.6">
      <c r="A110" s="6">
        <v>109</v>
      </c>
      <c r="B110" s="7" t="s">
        <v>23</v>
      </c>
      <c r="C110" s="7">
        <v>10422079</v>
      </c>
      <c r="D110" s="7" t="s">
        <v>321</v>
      </c>
      <c r="E110" s="7" t="s">
        <v>318</v>
      </c>
      <c r="F110" s="6">
        <v>1</v>
      </c>
      <c r="G110" s="7" t="s">
        <v>322</v>
      </c>
      <c r="H110" s="7">
        <v>5</v>
      </c>
      <c r="I110" s="7"/>
      <c r="J110" s="8">
        <f>VLOOKUP(C110,[1]Lab!$C$9:$I$126, 6, FALSE)</f>
        <v>0</v>
      </c>
      <c r="K110" s="8">
        <f>VLOOKUP(C110,[1]Lab!$C$9:$I$126, 7, FALSE)</f>
        <v>0</v>
      </c>
      <c r="L110" s="5">
        <f>_xlfn.IFNA(VLOOKUP(C110, [1]exam!$A$2:$C$115,3,FALSE),0)</f>
        <v>5.5</v>
      </c>
      <c r="M110" s="11"/>
      <c r="N110" s="11"/>
      <c r="O110">
        <f t="shared" si="1"/>
        <v>5.5</v>
      </c>
      <c r="P110" s="5">
        <f>J110*0.1+K110*0.1+MIN((L110+N110),10)*0.4+M110*0.4</f>
        <v>2.2000000000000002</v>
      </c>
      <c r="Q110" s="10">
        <f>IF(P110*10&lt;50,5,ROUND(3*((100-P110*10)/50)+1,1))</f>
        <v>5</v>
      </c>
      <c r="R110" s="10">
        <f>IF(Q110&gt;4,5,IF((Q110-TRUNC(Q110))&lt;0.3,TRUNC(Q110),IF((Q110-TRUNC(Q110))&gt;=0.7,TRUNC(Q110)+0.7,TRUNC(Q110)+0.3)))</f>
        <v>5</v>
      </c>
      <c r="S110" s="5"/>
    </row>
    <row r="111" spans="1:19" ht="15.6">
      <c r="A111" s="6">
        <v>110</v>
      </c>
      <c r="B111" s="7" t="s">
        <v>23</v>
      </c>
      <c r="C111" s="7">
        <v>10422080</v>
      </c>
      <c r="D111" s="7" t="s">
        <v>231</v>
      </c>
      <c r="E111" s="7" t="s">
        <v>323</v>
      </c>
      <c r="F111" s="6">
        <v>1</v>
      </c>
      <c r="G111" s="7" t="s">
        <v>324</v>
      </c>
      <c r="H111" s="7">
        <v>2.7</v>
      </c>
      <c r="I111" s="7"/>
      <c r="J111" s="8">
        <f>VLOOKUP(C111,[1]Lab!$C$9:$I$126, 6, FALSE)</f>
        <v>10</v>
      </c>
      <c r="K111" s="8">
        <f>VLOOKUP(C111,[1]Lab!$C$9:$I$126, 7, FALSE)</f>
        <v>10</v>
      </c>
      <c r="L111" s="5">
        <f>_xlfn.IFNA(VLOOKUP(C111, [1]exam!$A$2:$C$115,3,FALSE),0)</f>
        <v>6.75</v>
      </c>
      <c r="M111" s="4">
        <v>6</v>
      </c>
      <c r="N111" s="5"/>
      <c r="O111">
        <f t="shared" si="1"/>
        <v>6.75</v>
      </c>
      <c r="P111" s="5">
        <f>J111*0.1+K111*0.1+MIN((L111+N111),10)*0.4+M111*0.4</f>
        <v>7.1000000000000005</v>
      </c>
      <c r="Q111" s="10">
        <f>IF(P111*10&lt;50,5,ROUND(3*((100-P111*10)/50)+1,1))</f>
        <v>2.7</v>
      </c>
      <c r="R111" s="10">
        <f>IF(Q111&gt;4,5,IF((Q111-TRUNC(Q111))&lt;0.3,TRUNC(Q111),IF((Q111-TRUNC(Q111))&gt;=0.7,TRUNC(Q111)+0.7,TRUNC(Q111)+0.3)))</f>
        <v>2.7</v>
      </c>
      <c r="S111" s="4" t="s">
        <v>325</v>
      </c>
    </row>
    <row r="112" spans="1:19" ht="15.6">
      <c r="A112" s="6">
        <v>111</v>
      </c>
      <c r="B112" s="7" t="s">
        <v>23</v>
      </c>
      <c r="C112" s="7">
        <v>10422081</v>
      </c>
      <c r="D112" s="7" t="s">
        <v>326</v>
      </c>
      <c r="E112" s="7" t="s">
        <v>327</v>
      </c>
      <c r="F112" s="6">
        <v>1</v>
      </c>
      <c r="G112" s="7" t="s">
        <v>328</v>
      </c>
      <c r="H112" s="7">
        <v>1</v>
      </c>
      <c r="I112" s="7"/>
      <c r="J112" s="8">
        <f>VLOOKUP(C112,[1]Lab!$C$9:$I$126, 6, FALSE)</f>
        <v>10</v>
      </c>
      <c r="K112" s="8">
        <f>VLOOKUP(C112,[1]Lab!$C$9:$I$126, 7, FALSE)</f>
        <v>10</v>
      </c>
      <c r="L112" s="5">
        <f>_xlfn.IFNA(VLOOKUP(C112, [1]exam!$A$2:$C$115,3,FALSE),0)</f>
        <v>8.75</v>
      </c>
      <c r="M112" s="4">
        <v>10</v>
      </c>
      <c r="N112" s="4">
        <v>1</v>
      </c>
      <c r="O112">
        <f t="shared" si="1"/>
        <v>9.75</v>
      </c>
      <c r="P112" s="5">
        <f>J112*0.1+K112*0.1+MIN((L112+N112),10)*0.4+M112*0.4</f>
        <v>9.9</v>
      </c>
      <c r="Q112" s="10">
        <f>IF(P112*10&lt;50,5,ROUND(3*((100-P112*10)/50)+1,1))</f>
        <v>1.1000000000000001</v>
      </c>
      <c r="R112" s="10">
        <f>IF(Q112&gt;4,5,IF((Q112-TRUNC(Q112))&lt;0.3,TRUNC(Q112),IF((Q112-TRUNC(Q112))&gt;=0.7,TRUNC(Q112)+0.7,TRUNC(Q112)+0.3)))</f>
        <v>1</v>
      </c>
      <c r="S112" s="5"/>
    </row>
    <row r="113" spans="1:19" ht="15.6">
      <c r="A113" s="6">
        <v>112</v>
      </c>
      <c r="B113" s="7" t="s">
        <v>23</v>
      </c>
      <c r="C113" s="7">
        <v>10422082</v>
      </c>
      <c r="D113" s="7" t="s">
        <v>329</v>
      </c>
      <c r="E113" s="7" t="s">
        <v>327</v>
      </c>
      <c r="F113" s="6">
        <v>1</v>
      </c>
      <c r="G113" s="7" t="s">
        <v>330</v>
      </c>
      <c r="H113" s="7">
        <v>1.3</v>
      </c>
      <c r="I113" s="7"/>
      <c r="J113" s="8">
        <f>VLOOKUP(C113,[1]Lab!$C$9:$I$126, 6, FALSE)</f>
        <v>10</v>
      </c>
      <c r="K113" s="8">
        <f>VLOOKUP(C113,[1]Lab!$C$9:$I$126, 7, FALSE)</f>
        <v>10</v>
      </c>
      <c r="L113" s="5">
        <f>_xlfn.IFNA(VLOOKUP(C113, [1]exam!$A$2:$C$115,3,FALSE),0)</f>
        <v>6.5</v>
      </c>
      <c r="M113" s="25">
        <v>10</v>
      </c>
      <c r="N113" s="25">
        <v>1</v>
      </c>
      <c r="O113">
        <f t="shared" si="1"/>
        <v>7.5</v>
      </c>
      <c r="P113" s="5">
        <f>J113*0.1+K113*0.1+MIN((L113+N113),10)*0.4+M113*0.4</f>
        <v>9</v>
      </c>
      <c r="Q113" s="10">
        <f>IF(P113*10&lt;50,5,ROUND(3*((100-P113*10)/50)+1,1))</f>
        <v>1.6</v>
      </c>
      <c r="R113" s="10">
        <f>IF(Q113&gt;4,5,IF((Q113-TRUNC(Q113))&lt;0.3,TRUNC(Q113),IF((Q113-TRUNC(Q113))&gt;=0.7,TRUNC(Q113)+0.7,TRUNC(Q113)+0.3)))</f>
        <v>1.3</v>
      </c>
      <c r="S113" s="5"/>
    </row>
    <row r="114" spans="1:19" ht="15.6">
      <c r="A114" s="6">
        <v>113</v>
      </c>
      <c r="B114" s="7" t="s">
        <v>23</v>
      </c>
      <c r="C114" s="7">
        <v>10422121</v>
      </c>
      <c r="D114" s="7" t="s">
        <v>331</v>
      </c>
      <c r="E114" s="7" t="s">
        <v>332</v>
      </c>
      <c r="F114" s="6">
        <v>1</v>
      </c>
      <c r="G114" s="7" t="s">
        <v>333</v>
      </c>
      <c r="H114" s="7">
        <v>2</v>
      </c>
      <c r="I114" s="7"/>
      <c r="J114" s="8">
        <f>VLOOKUP(C114,[1]Lab!$C$9:$I$126, 6, FALSE)</f>
        <v>8</v>
      </c>
      <c r="K114" s="8">
        <f>VLOOKUP(C114,[1]Lab!$C$9:$I$126, 7, FALSE)</f>
        <v>10</v>
      </c>
      <c r="L114" s="5">
        <f>_xlfn.IFNA(VLOOKUP(C114, [1]exam!$A$2:$C$115,3,FALSE),0)</f>
        <v>5.75</v>
      </c>
      <c r="M114" s="4">
        <v>10</v>
      </c>
      <c r="N114" s="5"/>
      <c r="O114">
        <f t="shared" si="1"/>
        <v>5.75</v>
      </c>
      <c r="P114" s="5">
        <f>J114*0.1+K114*0.1+MIN((L114+N114),10)*0.4+M114*0.4</f>
        <v>8.1000000000000014</v>
      </c>
      <c r="Q114" s="10">
        <f>IF(P114*10&lt;50,5,ROUND(3*((100-P114*10)/50)+1,1))</f>
        <v>2.1</v>
      </c>
      <c r="R114" s="10">
        <f>IF(Q114&gt;4,5,IF((Q114-TRUNC(Q114))&lt;0.3,TRUNC(Q114),IF((Q114-TRUNC(Q114))&gt;=0.7,TRUNC(Q114)+0.7,TRUNC(Q114)+0.3)))</f>
        <v>2</v>
      </c>
      <c r="S114" s="5"/>
    </row>
    <row r="115" spans="1:19" ht="15.6">
      <c r="A115" s="6">
        <v>114</v>
      </c>
      <c r="B115" s="7" t="s">
        <v>23</v>
      </c>
      <c r="C115" s="7">
        <v>10422083</v>
      </c>
      <c r="D115" s="7" t="s">
        <v>334</v>
      </c>
      <c r="E115" s="7" t="s">
        <v>335</v>
      </c>
      <c r="F115" s="6">
        <v>1</v>
      </c>
      <c r="G115" s="7" t="s">
        <v>336</v>
      </c>
      <c r="H115" s="7">
        <v>2.2999999999999998</v>
      </c>
      <c r="I115" s="7"/>
      <c r="J115" s="8">
        <f>VLOOKUP(C115,[1]Lab!$C$9:$I$126, 6, FALSE)</f>
        <v>0</v>
      </c>
      <c r="K115" s="8">
        <f>VLOOKUP(C115,[1]Lab!$C$9:$I$126, 7, FALSE)</f>
        <v>10</v>
      </c>
      <c r="L115" s="5">
        <f>_xlfn.IFNA(VLOOKUP(C115, [1]exam!$A$2:$C$115,3,FALSE),0)</f>
        <v>6</v>
      </c>
      <c r="M115" s="4">
        <v>10</v>
      </c>
      <c r="N115" s="5"/>
      <c r="O115">
        <f t="shared" si="1"/>
        <v>6</v>
      </c>
      <c r="P115" s="5">
        <f>J115*0.1+K115*0.1+MIN((L115+N115),10)*0.4+M115*0.4</f>
        <v>7.4</v>
      </c>
      <c r="Q115" s="10">
        <f>IF(P115*10&lt;50,5,ROUND(3*((100-P115*10)/50)+1,1))</f>
        <v>2.6</v>
      </c>
      <c r="R115" s="10">
        <f>IF(Q115&gt;4,5,IF((Q115-TRUNC(Q115))&lt;0.3,TRUNC(Q115),IF((Q115-TRUNC(Q115))&gt;=0.7,TRUNC(Q115)+0.7,TRUNC(Q115)+0.3)))</f>
        <v>2.2999999999999998</v>
      </c>
      <c r="S115" s="5"/>
    </row>
    <row r="116" spans="1:19" ht="15.6">
      <c r="A116" s="6">
        <v>115</v>
      </c>
      <c r="B116" s="7" t="s">
        <v>23</v>
      </c>
      <c r="C116" s="7">
        <v>10422084</v>
      </c>
      <c r="D116" s="7" t="s">
        <v>337</v>
      </c>
      <c r="E116" s="7" t="s">
        <v>338</v>
      </c>
      <c r="F116" s="6">
        <v>1</v>
      </c>
      <c r="G116" s="7" t="s">
        <v>339</v>
      </c>
      <c r="H116" s="7">
        <v>1.7</v>
      </c>
      <c r="I116" s="7"/>
      <c r="J116" s="8">
        <f>VLOOKUP(C116,[1]Lab!$C$9:$I$126, 6, FALSE)</f>
        <v>10</v>
      </c>
      <c r="K116" s="8">
        <f>VLOOKUP(C116,[1]Lab!$C$9:$I$126, 7, FALSE)</f>
        <v>10</v>
      </c>
      <c r="L116" s="5">
        <f>_xlfn.IFNA(VLOOKUP(C116, [1]exam!$A$2:$C$115,3,FALSE),0)</f>
        <v>6.75</v>
      </c>
      <c r="M116" s="4">
        <v>10</v>
      </c>
      <c r="N116" s="5"/>
      <c r="O116">
        <f t="shared" si="1"/>
        <v>6.75</v>
      </c>
      <c r="P116" s="5">
        <f>J116*0.1+K116*0.1+MIN((L116+N116),10)*0.4+M116*0.4</f>
        <v>8.6999999999999993</v>
      </c>
      <c r="Q116" s="10">
        <f>IF(P116*10&lt;50,5,ROUND(3*((100-P116*10)/50)+1,1))</f>
        <v>1.8</v>
      </c>
      <c r="R116" s="10">
        <f>IF(Q116&gt;4,5,IF((Q116-TRUNC(Q116))&lt;0.3,TRUNC(Q116),IF((Q116-TRUNC(Q116))&gt;=0.7,TRUNC(Q116)+0.7,TRUNC(Q116)+0.3)))</f>
        <v>1.7</v>
      </c>
      <c r="S116" s="5"/>
    </row>
    <row r="117" spans="1:19" ht="15.6">
      <c r="A117" s="6">
        <v>116</v>
      </c>
      <c r="B117" s="7" t="s">
        <v>23</v>
      </c>
      <c r="C117" s="7">
        <v>10422122</v>
      </c>
      <c r="D117" s="7" t="s">
        <v>340</v>
      </c>
      <c r="E117" s="7" t="s">
        <v>21</v>
      </c>
      <c r="F117" s="6">
        <v>1</v>
      </c>
      <c r="G117" s="7" t="s">
        <v>341</v>
      </c>
      <c r="H117" s="7">
        <v>1.3</v>
      </c>
      <c r="I117" s="7"/>
      <c r="J117" s="8">
        <f>VLOOKUP(C117,[1]Lab!$C$9:$I$126, 6, FALSE)</f>
        <v>10</v>
      </c>
      <c r="K117" s="8">
        <f>VLOOKUP(C117,[1]Lab!$C$9:$I$126, 7, FALSE)</f>
        <v>10</v>
      </c>
      <c r="L117" s="5">
        <f>_xlfn.IFNA(VLOOKUP(C117, [1]exam!$A$2:$C$115,3,FALSE),0)</f>
        <v>8.25</v>
      </c>
      <c r="M117" s="4">
        <v>10</v>
      </c>
      <c r="N117" s="5"/>
      <c r="O117">
        <f t="shared" si="1"/>
        <v>8.25</v>
      </c>
      <c r="P117" s="5">
        <f>J117*0.1+K117*0.1+MIN((L117+N117),10)*0.4+M117*0.4</f>
        <v>9.3000000000000007</v>
      </c>
      <c r="Q117" s="10">
        <f>IF(P117*10&lt;50,5,ROUND(3*((100-P117*10)/50)+1,1))</f>
        <v>1.4</v>
      </c>
      <c r="R117" s="10">
        <f>IF(Q117&gt;4,5,IF((Q117-TRUNC(Q117))&lt;0.3,TRUNC(Q117),IF((Q117-TRUNC(Q117))&gt;=0.7,TRUNC(Q117)+0.7,TRUNC(Q117)+0.3)))</f>
        <v>1.3</v>
      </c>
      <c r="S117" s="5"/>
    </row>
    <row r="118" spans="1:19" ht="15.6">
      <c r="A118" s="6">
        <v>117</v>
      </c>
      <c r="B118" s="7" t="s">
        <v>23</v>
      </c>
      <c r="C118" s="7">
        <v>10421067</v>
      </c>
      <c r="D118" s="7" t="s">
        <v>342</v>
      </c>
      <c r="E118" s="7" t="s">
        <v>343</v>
      </c>
      <c r="F118" s="6">
        <v>1</v>
      </c>
      <c r="G118" s="7" t="s">
        <v>344</v>
      </c>
      <c r="H118" s="7">
        <v>2</v>
      </c>
      <c r="I118" s="7"/>
      <c r="J118" s="8">
        <f>VLOOKUP(C118,[1]Lab!$C$9:$I$126, 6, FALSE)</f>
        <v>10</v>
      </c>
      <c r="K118" s="8">
        <f>VLOOKUP(C118,[1]Lab!$C$9:$I$126, 7, FALSE)</f>
        <v>10</v>
      </c>
      <c r="L118" s="5">
        <f>_xlfn.IFNA(VLOOKUP(C118, [1]exam!$A$2:$C$115,3,FALSE),0)</f>
        <v>5</v>
      </c>
      <c r="M118" s="4">
        <v>9</v>
      </c>
      <c r="N118" s="4">
        <v>1</v>
      </c>
      <c r="O118">
        <f t="shared" si="1"/>
        <v>6</v>
      </c>
      <c r="P118" s="5">
        <f>J118*0.1+K118*0.1+MIN((L118+N118),10)*0.4+M118*0.4</f>
        <v>8</v>
      </c>
      <c r="Q118" s="10">
        <f>IF(P118*10&lt;50,5,ROUND(3*((100-P118*10)/50)+1,1))</f>
        <v>2.2000000000000002</v>
      </c>
      <c r="R118" s="10">
        <f>IF(Q118&gt;4,5,IF((Q118-TRUNC(Q118))&lt;0.3,TRUNC(Q118),IF((Q118-TRUNC(Q118))&gt;=0.7,TRUNC(Q118)+0.7,TRUNC(Q118)+0.3)))</f>
        <v>2</v>
      </c>
      <c r="S118" s="5"/>
    </row>
    <row r="119" spans="1:19" ht="15.6">
      <c r="A119" s="6">
        <v>118</v>
      </c>
      <c r="B119" s="7" t="s">
        <v>23</v>
      </c>
      <c r="C119" s="7">
        <v>10422085</v>
      </c>
      <c r="D119" s="7" t="s">
        <v>345</v>
      </c>
      <c r="E119" s="7" t="s">
        <v>346</v>
      </c>
      <c r="F119" s="6">
        <v>1</v>
      </c>
      <c r="G119" s="7" t="s">
        <v>347</v>
      </c>
      <c r="H119" s="7">
        <v>1.7</v>
      </c>
      <c r="I119" s="7"/>
      <c r="J119" s="8">
        <f>VLOOKUP(C119,[1]Lab!$C$9:$I$126, 6, FALSE)</f>
        <v>10</v>
      </c>
      <c r="K119" s="8">
        <f>VLOOKUP(C119,[1]Lab!$C$9:$I$126, 7, FALSE)</f>
        <v>10</v>
      </c>
      <c r="L119" s="5">
        <f>_xlfn.IFNA(VLOOKUP(C119, [1]exam!$A$2:$C$115,3,FALSE),0)</f>
        <v>9</v>
      </c>
      <c r="M119" s="4">
        <v>8</v>
      </c>
      <c r="N119" s="5"/>
      <c r="O119">
        <f t="shared" si="1"/>
        <v>9</v>
      </c>
      <c r="P119" s="5">
        <f>J119*0.1+K119*0.1+MIN((L119+N119),10)*0.4+M119*0.4</f>
        <v>8.8000000000000007</v>
      </c>
      <c r="Q119" s="10">
        <f>IF(P119*10&lt;50,5,ROUND(3*((100-P119*10)/50)+1,1))</f>
        <v>1.7</v>
      </c>
      <c r="R119" s="10">
        <f>IF(Q119&gt;4,5,IF((Q119-TRUNC(Q119))&lt;0.3,TRUNC(Q119),IF((Q119-TRUNC(Q119))&gt;=0.7,TRUNC(Q119)+0.7,TRUNC(Q119)+0.3)))</f>
        <v>1.7</v>
      </c>
      <c r="S119" s="4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2024-07-23T15:55:11Z</dcterms:created>
  <dcterms:modified xsi:type="dcterms:W3CDTF">2024-07-23T15:57:46Z</dcterms:modified>
</cp:coreProperties>
</file>